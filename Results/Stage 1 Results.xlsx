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eer\Downloads\Results\"/>
    </mc:Choice>
  </mc:AlternateContent>
  <xr:revisionPtr revIDLastSave="0" documentId="13_ncr:1_{E166A796-7ECD-4800-BEF1-8418D21ACB7D}" xr6:coauthVersionLast="47" xr6:coauthVersionMax="47" xr10:uidLastSave="{00000000-0000-0000-0000-000000000000}"/>
  <bookViews>
    <workbookView xWindow="-98" yWindow="-98" windowWidth="21795" windowHeight="13695" firstSheet="11" activeTab="11" xr2:uid="{00000000-000D-0000-FFFF-FFFF00000000}"/>
  </bookViews>
  <sheets>
    <sheet name="5mini - 5.4mini" sheetId="2" r:id="rId1"/>
    <sheet name="5.4mini - 5.4mini" sheetId="3" r:id="rId2"/>
    <sheet name="5.4mini - 5.6sol" sheetId="4" r:id="rId3"/>
    <sheet name="Haiku4.5 - Sonnet5" sheetId="5" r:id="rId4"/>
    <sheet name="GLM5.2 - 5.4mini" sheetId="6" r:id="rId5"/>
    <sheet name="Gemma4 - 5.6luna" sheetId="7" r:id="rId6"/>
    <sheet name="Qwen3.5 9B - 5.6luna" sheetId="8" r:id="rId7"/>
    <sheet name="DeepSeek V4 - 5.6luna" sheetId="9" r:id="rId8"/>
    <sheet name="Gemma4 - 5.4mini" sheetId="11" r:id="rId9"/>
    <sheet name="Qwen3.5 9B - 5.4mini" sheetId="12" r:id="rId10"/>
    <sheet name="5mini - 5.6luna" sheetId="13" r:id="rId11"/>
    <sheet name="5.4mini - 5.6luna" sheetId="14" r:id="rId12"/>
    <sheet name="Gemma4 - 5.4mini med" sheetId="15" r:id="rId13"/>
    <sheet name="Qwen3.5 9B - 5.4mini med" sheetId="16" r:id="rId14"/>
    <sheet name="DeepSeek V4 - DeepSeek" sheetId="17" r:id="rId15"/>
    <sheet name="5mini - 5.4mini med" sheetId="18" r:id="rId16"/>
    <sheet name="5mini - 5.6sol" sheetId="19" r:id="rId17"/>
    <sheet name="5mini - DeepSeek V4" sheetId="20" r:id="rId18"/>
    <sheet name="Summary" sheetId="10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20" l="1"/>
  <c r="K22" i="10" s="1"/>
  <c r="H20" i="20"/>
  <c r="G20" i="20"/>
  <c r="E20" i="20"/>
  <c r="J22" i="10" s="1"/>
  <c r="D20" i="20"/>
  <c r="C20" i="20"/>
  <c r="J19" i="20"/>
  <c r="J18" i="20"/>
  <c r="J17" i="20"/>
  <c r="J16" i="20"/>
  <c r="J15" i="20"/>
  <c r="J14" i="20"/>
  <c r="J13" i="20"/>
  <c r="J20" i="20" s="1"/>
  <c r="E22" i="10" s="1"/>
  <c r="J12" i="20"/>
  <c r="J11" i="20"/>
  <c r="J10" i="20"/>
  <c r="J9" i="20"/>
  <c r="J8" i="20"/>
  <c r="J7" i="20"/>
  <c r="J6" i="20"/>
  <c r="J5" i="20"/>
  <c r="I20" i="19"/>
  <c r="H20" i="19"/>
  <c r="I21" i="10" s="1"/>
  <c r="G20" i="19"/>
  <c r="G21" i="10" s="1"/>
  <c r="E20" i="19"/>
  <c r="D20" i="19"/>
  <c r="C20" i="19"/>
  <c r="J19" i="19"/>
  <c r="J18" i="19"/>
  <c r="J17" i="19"/>
  <c r="J16" i="19"/>
  <c r="J15" i="19"/>
  <c r="J14" i="19"/>
  <c r="J13" i="19"/>
  <c r="J12" i="19"/>
  <c r="J11" i="19"/>
  <c r="J20" i="19" s="1"/>
  <c r="E21" i="10" s="1"/>
  <c r="J10" i="19"/>
  <c r="J9" i="19"/>
  <c r="J8" i="19"/>
  <c r="J7" i="19"/>
  <c r="J6" i="19"/>
  <c r="J5" i="19"/>
  <c r="I20" i="18"/>
  <c r="H20" i="18"/>
  <c r="G20" i="18"/>
  <c r="G20" i="10" s="1"/>
  <c r="E20" i="18"/>
  <c r="J20" i="10" s="1"/>
  <c r="D20" i="18"/>
  <c r="C20" i="18"/>
  <c r="J19" i="18"/>
  <c r="J18" i="18"/>
  <c r="J17" i="18"/>
  <c r="J16" i="18"/>
  <c r="J15" i="18"/>
  <c r="J14" i="18"/>
  <c r="J13" i="18"/>
  <c r="J12" i="18"/>
  <c r="J11" i="18"/>
  <c r="J10" i="18"/>
  <c r="J9" i="18"/>
  <c r="J20" i="18" s="1"/>
  <c r="E20" i="10" s="1"/>
  <c r="J8" i="18"/>
  <c r="J7" i="18"/>
  <c r="J6" i="18"/>
  <c r="J5" i="18"/>
  <c r="I20" i="17"/>
  <c r="H20" i="17"/>
  <c r="G20" i="17"/>
  <c r="E20" i="17"/>
  <c r="J19" i="10" s="1"/>
  <c r="D20" i="17"/>
  <c r="H19" i="10" s="1"/>
  <c r="C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20" i="17" s="1"/>
  <c r="E19" i="10" s="1"/>
  <c r="J6" i="17"/>
  <c r="J5" i="17"/>
  <c r="I20" i="16"/>
  <c r="H20" i="16"/>
  <c r="G20" i="16"/>
  <c r="E20" i="16"/>
  <c r="J18" i="10" s="1"/>
  <c r="D20" i="16"/>
  <c r="H18" i="10" s="1"/>
  <c r="C20" i="16"/>
  <c r="F18" i="10" s="1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6"/>
  <c r="J5" i="16"/>
  <c r="J20" i="16" s="1"/>
  <c r="E18" i="10" s="1"/>
  <c r="I20" i="15"/>
  <c r="H20" i="15"/>
  <c r="I17" i="10" s="1"/>
  <c r="G20" i="15"/>
  <c r="E20" i="15"/>
  <c r="J17" i="10" s="1"/>
  <c r="D20" i="15"/>
  <c r="H17" i="10" s="1"/>
  <c r="C20" i="15"/>
  <c r="F17" i="10" s="1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J20" i="15" s="1"/>
  <c r="E17" i="10" s="1"/>
  <c r="I20" i="14"/>
  <c r="K16" i="10" s="1"/>
  <c r="H20" i="14"/>
  <c r="G20" i="14"/>
  <c r="G16" i="10" s="1"/>
  <c r="E20" i="14"/>
  <c r="D20" i="14"/>
  <c r="C20" i="14"/>
  <c r="F16" i="10" s="1"/>
  <c r="J19" i="14"/>
  <c r="J18" i="14"/>
  <c r="J17" i="14"/>
  <c r="J16" i="14"/>
  <c r="J15" i="14"/>
  <c r="J14" i="14"/>
  <c r="J13" i="14"/>
  <c r="J20" i="14" s="1"/>
  <c r="E16" i="10" s="1"/>
  <c r="J12" i="14"/>
  <c r="J11" i="14"/>
  <c r="J10" i="14"/>
  <c r="J9" i="14"/>
  <c r="J8" i="14"/>
  <c r="J7" i="14"/>
  <c r="J6" i="14"/>
  <c r="J5" i="14"/>
  <c r="I20" i="13"/>
  <c r="K15" i="10" s="1"/>
  <c r="H20" i="13"/>
  <c r="I15" i="10" s="1"/>
  <c r="G20" i="13"/>
  <c r="G15" i="10" s="1"/>
  <c r="E20" i="13"/>
  <c r="D20" i="13"/>
  <c r="C20" i="13"/>
  <c r="J19" i="13"/>
  <c r="J18" i="13"/>
  <c r="J17" i="13"/>
  <c r="J16" i="13"/>
  <c r="J15" i="13"/>
  <c r="J14" i="13"/>
  <c r="J13" i="13"/>
  <c r="J12" i="13"/>
  <c r="J11" i="13"/>
  <c r="J20" i="13" s="1"/>
  <c r="E15" i="10" s="1"/>
  <c r="J10" i="13"/>
  <c r="J9" i="13"/>
  <c r="J8" i="13"/>
  <c r="J7" i="13"/>
  <c r="J6" i="13"/>
  <c r="J5" i="13"/>
  <c r="I20" i="12"/>
  <c r="K14" i="10" s="1"/>
  <c r="H20" i="12"/>
  <c r="I14" i="10" s="1"/>
  <c r="G20" i="12"/>
  <c r="G14" i="10" s="1"/>
  <c r="E20" i="12"/>
  <c r="J14" i="10" s="1"/>
  <c r="D20" i="12"/>
  <c r="H14" i="10" s="1"/>
  <c r="C20" i="12"/>
  <c r="J19" i="12"/>
  <c r="J18" i="12"/>
  <c r="J17" i="12"/>
  <c r="J16" i="12"/>
  <c r="J15" i="12"/>
  <c r="J14" i="12"/>
  <c r="J13" i="12"/>
  <c r="J12" i="12"/>
  <c r="J11" i="12"/>
  <c r="J10" i="12"/>
  <c r="J9" i="12"/>
  <c r="J20" i="12" s="1"/>
  <c r="E14" i="10" s="1"/>
  <c r="J8" i="12"/>
  <c r="J7" i="12"/>
  <c r="J6" i="12"/>
  <c r="J5" i="12"/>
  <c r="I20" i="11"/>
  <c r="H20" i="11"/>
  <c r="I13" i="10" s="1"/>
  <c r="G20" i="11"/>
  <c r="G13" i="10" s="1"/>
  <c r="E20" i="11"/>
  <c r="J13" i="10" s="1"/>
  <c r="D20" i="11"/>
  <c r="H13" i="10" s="1"/>
  <c r="C20" i="11"/>
  <c r="F13" i="10" s="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20" i="11" s="1"/>
  <c r="E13" i="10" s="1"/>
  <c r="J6" i="11"/>
  <c r="J5" i="11"/>
  <c r="I22" i="10"/>
  <c r="H22" i="10"/>
  <c r="G22" i="10"/>
  <c r="F22" i="10"/>
  <c r="D22" i="10"/>
  <c r="C22" i="10"/>
  <c r="K21" i="10"/>
  <c r="J21" i="10"/>
  <c r="H21" i="10"/>
  <c r="F21" i="10"/>
  <c r="D21" i="10"/>
  <c r="C21" i="10"/>
  <c r="K20" i="10"/>
  <c r="I20" i="10"/>
  <c r="H20" i="10"/>
  <c r="F20" i="10"/>
  <c r="D20" i="10"/>
  <c r="C20" i="10"/>
  <c r="K19" i="10"/>
  <c r="I19" i="10"/>
  <c r="G19" i="10"/>
  <c r="F19" i="10"/>
  <c r="D19" i="10"/>
  <c r="C19" i="10"/>
  <c r="K18" i="10"/>
  <c r="I18" i="10"/>
  <c r="G18" i="10"/>
  <c r="D18" i="10"/>
  <c r="C18" i="10"/>
  <c r="K17" i="10"/>
  <c r="G17" i="10"/>
  <c r="D17" i="10"/>
  <c r="C17" i="10"/>
  <c r="J16" i="10"/>
  <c r="I16" i="10"/>
  <c r="H16" i="10"/>
  <c r="D16" i="10"/>
  <c r="C16" i="10"/>
  <c r="J15" i="10"/>
  <c r="H15" i="10"/>
  <c r="F15" i="10"/>
  <c r="D15" i="10"/>
  <c r="C15" i="10"/>
  <c r="F14" i="10"/>
  <c r="D14" i="10"/>
  <c r="C14" i="10"/>
  <c r="K13" i="10"/>
  <c r="D13" i="10"/>
  <c r="C13" i="10"/>
  <c r="K12" i="10"/>
  <c r="J12" i="10"/>
  <c r="I12" i="10"/>
  <c r="H12" i="10"/>
  <c r="K11" i="10"/>
  <c r="J11" i="10"/>
  <c r="I11" i="10"/>
  <c r="H11" i="10"/>
  <c r="G11" i="10"/>
  <c r="F11" i="10"/>
  <c r="J10" i="10"/>
  <c r="G10" i="10"/>
  <c r="H9" i="10"/>
  <c r="F9" i="10"/>
  <c r="K7" i="10"/>
  <c r="J7" i="10"/>
  <c r="I7" i="10"/>
  <c r="H7" i="10"/>
  <c r="G7" i="10"/>
  <c r="D7" i="10"/>
  <c r="C7" i="10"/>
  <c r="K6" i="10"/>
  <c r="I6" i="10"/>
  <c r="H6" i="10"/>
  <c r="G6" i="10"/>
  <c r="F6" i="10"/>
  <c r="K5" i="10"/>
  <c r="I20" i="9"/>
  <c r="H20" i="9"/>
  <c r="G20" i="9"/>
  <c r="G12" i="10" s="1"/>
  <c r="E20" i="9"/>
  <c r="D20" i="9"/>
  <c r="C20" i="9"/>
  <c r="F12" i="10" s="1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20" i="9" s="1"/>
  <c r="E12" i="10" s="1"/>
  <c r="I20" i="8"/>
  <c r="H20" i="8"/>
  <c r="G20" i="8"/>
  <c r="E20" i="8"/>
  <c r="D20" i="8"/>
  <c r="C20" i="8"/>
  <c r="J19" i="8"/>
  <c r="J18" i="8"/>
  <c r="J17" i="8"/>
  <c r="J16" i="8"/>
  <c r="J15" i="8"/>
  <c r="J14" i="8"/>
  <c r="J20" i="8" s="1"/>
  <c r="E11" i="10" s="1"/>
  <c r="J13" i="8"/>
  <c r="J12" i="8"/>
  <c r="J11" i="8"/>
  <c r="J10" i="8"/>
  <c r="J9" i="8"/>
  <c r="J8" i="8"/>
  <c r="J7" i="8"/>
  <c r="J6" i="8"/>
  <c r="J5" i="8"/>
  <c r="I20" i="7"/>
  <c r="K10" i="10" s="1"/>
  <c r="H20" i="7"/>
  <c r="I10" i="10" s="1"/>
  <c r="G20" i="7"/>
  <c r="E20" i="7"/>
  <c r="D20" i="7"/>
  <c r="H10" i="10" s="1"/>
  <c r="C20" i="7"/>
  <c r="F10" i="10" s="1"/>
  <c r="J19" i="7"/>
  <c r="J18" i="7"/>
  <c r="J17" i="7"/>
  <c r="J16" i="7"/>
  <c r="J15" i="7"/>
  <c r="J14" i="7"/>
  <c r="J13" i="7"/>
  <c r="J12" i="7"/>
  <c r="J20" i="7" s="1"/>
  <c r="E10" i="10" s="1"/>
  <c r="J11" i="7"/>
  <c r="J10" i="7"/>
  <c r="J9" i="7"/>
  <c r="J8" i="7"/>
  <c r="J7" i="7"/>
  <c r="J6" i="7"/>
  <c r="J5" i="7"/>
  <c r="I20" i="6"/>
  <c r="K9" i="10" s="1"/>
  <c r="H20" i="6"/>
  <c r="I9" i="10" s="1"/>
  <c r="G20" i="6"/>
  <c r="G9" i="10" s="1"/>
  <c r="E20" i="6"/>
  <c r="J9" i="10" s="1"/>
  <c r="D20" i="6"/>
  <c r="C20" i="6"/>
  <c r="J19" i="6"/>
  <c r="J18" i="6"/>
  <c r="J17" i="6"/>
  <c r="J16" i="6"/>
  <c r="J15" i="6"/>
  <c r="J14" i="6"/>
  <c r="J13" i="6"/>
  <c r="J12" i="6"/>
  <c r="J11" i="6"/>
  <c r="J10" i="6"/>
  <c r="J20" i="6" s="1"/>
  <c r="E9" i="10" s="1"/>
  <c r="J9" i="6"/>
  <c r="J8" i="6"/>
  <c r="J7" i="6"/>
  <c r="J6" i="6"/>
  <c r="J5" i="6"/>
  <c r="I20" i="5"/>
  <c r="K8" i="10" s="1"/>
  <c r="H20" i="5"/>
  <c r="I8" i="10" s="1"/>
  <c r="G20" i="5"/>
  <c r="G8" i="10" s="1"/>
  <c r="E20" i="5"/>
  <c r="J8" i="10" s="1"/>
  <c r="D20" i="5"/>
  <c r="H8" i="10" s="1"/>
  <c r="C20" i="5"/>
  <c r="F8" i="10" s="1"/>
  <c r="J19" i="5"/>
  <c r="J18" i="5"/>
  <c r="J17" i="5"/>
  <c r="J16" i="5"/>
  <c r="J15" i="5"/>
  <c r="J14" i="5"/>
  <c r="J13" i="5"/>
  <c r="J12" i="5"/>
  <c r="J11" i="5"/>
  <c r="J10" i="5"/>
  <c r="J9" i="5"/>
  <c r="J8" i="5"/>
  <c r="J20" i="5" s="1"/>
  <c r="E8" i="10" s="1"/>
  <c r="J7" i="5"/>
  <c r="J6" i="5"/>
  <c r="J5" i="5"/>
  <c r="I20" i="4"/>
  <c r="H20" i="4"/>
  <c r="G20" i="4"/>
  <c r="E20" i="4"/>
  <c r="D20" i="4"/>
  <c r="C20" i="4"/>
  <c r="F7" i="10" s="1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20" i="4" s="1"/>
  <c r="E7" i="10" s="1"/>
  <c r="J5" i="4"/>
  <c r="I20" i="3"/>
  <c r="H20" i="3"/>
  <c r="G20" i="3"/>
  <c r="E20" i="3"/>
  <c r="J6" i="10" s="1"/>
  <c r="D20" i="3"/>
  <c r="C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20" i="3" s="1"/>
  <c r="E6" i="10" s="1"/>
  <c r="J20" i="2"/>
  <c r="E5" i="10" s="1"/>
  <c r="I20" i="2"/>
  <c r="H20" i="2"/>
  <c r="I5" i="10" s="1"/>
  <c r="G20" i="2"/>
  <c r="G5" i="10" s="1"/>
  <c r="E20" i="2"/>
  <c r="J5" i="10" s="1"/>
  <c r="D20" i="2"/>
  <c r="H5" i="10" s="1"/>
  <c r="C20" i="2"/>
  <c r="F5" i="10" s="1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</calcChain>
</file>

<file path=xl/sharedStrings.xml><?xml version="1.0" encoding="utf-8"?>
<sst xmlns="http://schemas.openxmlformats.org/spreadsheetml/2006/main" count="1106" uniqueCount="89">
  <si>
    <t>Task</t>
  </si>
  <si>
    <t>Off score</t>
  </si>
  <si>
    <t>Off regens</t>
  </si>
  <si>
    <t>Off total time (min)</t>
  </si>
  <si>
    <t>Off cost (USD)</t>
  </si>
  <si>
    <t>On score</t>
  </si>
  <si>
    <t>On regens</t>
  </si>
  <si>
    <t>On total time (min)</t>
  </si>
  <si>
    <t>On cost (USD)</t>
  </si>
  <si>
    <t>Effect</t>
  </si>
  <si>
    <t>medium-001</t>
  </si>
  <si>
    <t>10/10</t>
  </si>
  <si>
    <t>medium-002</t>
  </si>
  <si>
    <t>9/10</t>
  </si>
  <si>
    <t>medium-003</t>
  </si>
  <si>
    <t>medium-004</t>
  </si>
  <si>
    <t>6/9</t>
  </si>
  <si>
    <t>8/9</t>
  </si>
  <si>
    <t>medium-005</t>
  </si>
  <si>
    <t>TOTAL</t>
  </si>
  <si>
    <t>gpt-5-mini (low) → gpt-5.4-mini (low)</t>
  </si>
  <si>
    <t>easy-001</t>
  </si>
  <si>
    <t>5/6</t>
  </si>
  <si>
    <t>easy-002</t>
  </si>
  <si>
    <t>6/6</t>
  </si>
  <si>
    <t>easy-003</t>
  </si>
  <si>
    <t>easy-004</t>
  </si>
  <si>
    <t>4/6</t>
  </si>
  <si>
    <t>easy-005</t>
  </si>
  <si>
    <t>9/9</t>
  </si>
  <si>
    <t>hard-001</t>
  </si>
  <si>
    <t>10/14</t>
  </si>
  <si>
    <t>13/14</t>
  </si>
  <si>
    <t>hard-002</t>
  </si>
  <si>
    <t>11/14</t>
  </si>
  <si>
    <t>hard-003</t>
  </si>
  <si>
    <t>8/14</t>
  </si>
  <si>
    <t>hard-004</t>
  </si>
  <si>
    <t>hard-005</t>
  </si>
  <si>
    <t>not reached</t>
  </si>
  <si>
    <t>109/135 (1 not reached)</t>
  </si>
  <si>
    <t>130/149</t>
  </si>
  <si>
    <t>gpt-5.4-mini (low) → gpt-5.4-mini (low)</t>
  </si>
  <si>
    <t>7/9</t>
  </si>
  <si>
    <t>12/14</t>
  </si>
  <si>
    <t>9/14</t>
  </si>
  <si>
    <t>132/149</t>
  </si>
  <si>
    <t>gpt-5.4-mini (low) → gpt-5.6-sol (medium)</t>
  </si>
  <si>
    <t>14/14</t>
  </si>
  <si>
    <t>143/149</t>
  </si>
  <si>
    <t>claude-haiku-4.5 (medium) → claude-sonnet-5 (medium)</t>
  </si>
  <si>
    <t>135/149</t>
  </si>
  <si>
    <t>137/149</t>
  </si>
  <si>
    <t>z-ai/glm-5.2 (high) → gpt-5.4-mini (medium)</t>
  </si>
  <si>
    <t>140/149</t>
  </si>
  <si>
    <t>141/149</t>
  </si>
  <si>
    <t>google/gemma-4-26b-a4b-it (medium) → gpt-5.6-luna (medium)</t>
  </si>
  <si>
    <t>8/10</t>
  </si>
  <si>
    <t>128/149</t>
  </si>
  <si>
    <t>133/149</t>
  </si>
  <si>
    <t>qwen/qwen3.5-9b (medium) → gpt-5.6-luna (medium)</t>
  </si>
  <si>
    <t>3/6</t>
  </si>
  <si>
    <t>7/10</t>
  </si>
  <si>
    <t>5/10</t>
  </si>
  <si>
    <t>65/87 (5 not reached)</t>
  </si>
  <si>
    <t>63/73 (6 not reached)</t>
  </si>
  <si>
    <t>deepseek/deepseek-v4-flash-0731 (high) → gpt-5.6-luna (medium)</t>
  </si>
  <si>
    <t>134/149</t>
  </si>
  <si>
    <t>AIPyCraft paired experiment summary</t>
  </si>
  <si>
    <t>Model pairing</t>
  </si>
  <si>
    <t>Tasks</t>
  </si>
  <si>
    <t>google/gemma-4-26b-a4b-it (medium) → gpt-5.4-mini (low)</t>
  </si>
  <si>
    <t>qwen/qwen3.5-9b (medium) → gpt-5.4-mini (low)</t>
  </si>
  <si>
    <t>gpt-5-mini (low) → gpt-5.6-luna (medium)</t>
  </si>
  <si>
    <t>gpt-5.4-mini (low) → gpt-5.6-luna (medium)</t>
  </si>
  <si>
    <t>google/gemma-4-26b-a4b-it (medium) → gpt-5.4-mini (medium)</t>
  </si>
  <si>
    <t>qwen/qwen3.5-9b (medium) → gpt-5.4-mini (medium)</t>
  </si>
  <si>
    <t>deepseek/deepseek-v4-flash-0731 (high) → deepseek/deepseek-v4-flash-0731 (high)</t>
  </si>
  <si>
    <t>gpt-5-mini (low) → gpt-5.4-mini (medium)</t>
  </si>
  <si>
    <t>gpt-5-mini (low) → gpt-5.6-sol (medium)</t>
  </si>
  <si>
    <t>gpt-5-mini (low) → deepseek/deepseek-v4-flash-0731 (high)</t>
  </si>
  <si>
    <t>119/135 (1 not reached)</t>
  </si>
  <si>
    <t>validator error</t>
  </si>
  <si>
    <t>provider error</t>
  </si>
  <si>
    <t>45/49 (5 not reached; 3 technical errors)</t>
  </si>
  <si>
    <t>52/59 (6 not reached; 1 technical errors)</t>
  </si>
  <si>
    <t>116/121 (2 technical errors)</t>
  </si>
  <si>
    <t>111/121 (2 not reached)</t>
  </si>
  <si>
    <t>111/121 (2 technical errors)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</si>
</sst>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&quot;$&quot;0.00000000"/>
    <numFmt numFmtId="166" formatCode="\+0;\-0;\+0"/>
    <numFmt numFmtId="167" formatCode="\$0.0000000"/>
  </numFmts>
  <fonts count="14">
    <font>
      <sz val="11"/>
      <name val="Carlito"/>
    </font>
    <font>
      <i/>
      <sz val="11"/>
      <color rgb="FF0F172A"/>
      <name val="Carlito"/>
    </font>
    <font>
      <b/>
      <sz val="11"/>
      <color rgb="FFFFFFFF"/>
      <name val="Carlito"/>
    </font>
    <font>
      <b/>
      <sz val="16"/>
      <color rgb="FFFFFFFF"/>
      <name val="Aptos"/>
      <family val="2"/>
    </font>
    <font>
      <i/>
      <sz val="11"/>
      <color rgb="FF0F172A"/>
      <name val="Aptos"/>
      <family val="2"/>
    </font>
    <font>
      <sz val="11"/>
      <name val="Aptos"/>
      <family val="2"/>
    </font>
    <font>
      <b/>
      <sz val="11"/>
      <color rgb="FFFFFFFF"/>
      <name val="Aptos"/>
      <family val="2"/>
    </font>
    <font>
      <sz val="11"/>
      <color rgb="FF0F172A"/>
      <name val="Aptos"/>
      <family val="2"/>
    </font>
    <font>
      <b/>
      <sz val="11"/>
      <color rgb="FF0F172A"/>
      <name val="Aptos"/>
      <family val="2"/>
    </font>
    <font>
      <b/>
      <sz val="17"/>
      <color rgb="FFFFFFFF"/>
      <name val="Aptos"/>
      <family val="2"/>
    </font>
    <font>
      <sz val="11"/>
      <color rgb="FF0F172A"/>
      <name val="Aptos"/>
      <family val="2"/>
    </font>
    <font>
      <sz val="11"/>
      <color rgb="FF0F172A"/>
      <name val="Carlito"/>
    </font>
    <font>
      <sz val="11"/>
      <color rgb="FF0F172A"/>
      <name val="Aptos"/>
      <family val="2"/>
    </font>
    <font>
      <sz val="11"/>
      <color rgb="FF0F172A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72554"/>
      </patternFill>
    </fill>
    <fill>
      <patternFill patternType="solid">
        <fgColor rgb="FFDBEAFE"/>
      </patternFill>
    </fill>
    <fill>
      <patternFill patternType="solid">
        <fgColor rgb="FF1D4ED8"/>
      </patternFill>
    </fill>
    <fill>
      <patternFill patternType="solid">
        <fgColor rgb="FFF3F4F6"/>
      </patternFill>
    </fill>
    <fill>
      <patternFill patternType="solid">
        <fgColor rgb="FF172554"/>
      </patternFill>
    </fill>
    <fill>
      <patternFill patternType="solid">
        <fgColor rgb="FFDBEAFE"/>
      </patternFill>
    </fill>
    <fill>
      <patternFill patternType="solid">
        <fgColor rgb="FF172554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172554"/>
      </patternFill>
    </fill>
    <fill>
      <patternFill patternType="solid">
        <fgColor rgb="FFDBEAFE"/>
      </patternFill>
    </fill>
    <fill>
      <patternFill patternType="solid">
        <fgColor rgb="FFF8FAFC"/>
      </patternFill>
    </fill>
  </fills>
  <borders count="7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 style="double">
        <color rgb="FF17255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1" fontId="7" fillId="0" borderId="4" xfId="0" applyNumberFormat="1" applyFont="1" applyBorder="1" applyAlignment="1">
      <alignment horizontal="right" vertical="center"/>
    </xf>
    <xf numFmtId="164" fontId="7" fillId="0" borderId="4" xfId="0" applyNumberFormat="1" applyFont="1" applyBorder="1" applyAlignment="1">
      <alignment horizontal="right" vertical="center"/>
    </xf>
    <xf numFmtId="165" fontId="7" fillId="0" borderId="4" xfId="0" applyNumberFormat="1" applyFont="1" applyBorder="1" applyAlignment="1">
      <alignment horizontal="right" vertical="center"/>
    </xf>
    <xf numFmtId="166" fontId="7" fillId="0" borderId="4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1" fontId="7" fillId="0" borderId="2" xfId="0" applyNumberFormat="1" applyFont="1" applyBorder="1" applyAlignment="1">
      <alignment horizontal="right" vertical="center"/>
    </xf>
    <xf numFmtId="164" fontId="7" fillId="0" borderId="2" xfId="0" applyNumberFormat="1" applyFont="1" applyBorder="1" applyAlignment="1">
      <alignment horizontal="right" vertical="center"/>
    </xf>
    <xf numFmtId="165" fontId="7" fillId="0" borderId="2" xfId="0" applyNumberFormat="1" applyFont="1" applyBorder="1" applyAlignment="1">
      <alignment horizontal="right" vertical="center"/>
    </xf>
    <xf numFmtId="166" fontId="7" fillId="0" borderId="2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right" vertical="center"/>
    </xf>
    <xf numFmtId="1" fontId="7" fillId="0" borderId="5" xfId="0" applyNumberFormat="1" applyFont="1" applyBorder="1" applyAlignment="1">
      <alignment horizontal="right" vertical="center"/>
    </xf>
    <xf numFmtId="164" fontId="7" fillId="0" borderId="5" xfId="0" applyNumberFormat="1" applyFont="1" applyBorder="1" applyAlignment="1">
      <alignment horizontal="right" vertical="center"/>
    </xf>
    <xf numFmtId="165" fontId="7" fillId="0" borderId="5" xfId="0" applyNumberFormat="1" applyFont="1" applyBorder="1" applyAlignment="1">
      <alignment horizontal="right" vertical="center"/>
    </xf>
    <xf numFmtId="166" fontId="7" fillId="0" borderId="5" xfId="0" applyNumberFormat="1" applyFont="1" applyBorder="1" applyAlignment="1">
      <alignment horizontal="right" vertical="center"/>
    </xf>
    <xf numFmtId="0" fontId="8" fillId="3" borderId="6" xfId="0" applyFont="1" applyFill="1" applyBorder="1"/>
    <xf numFmtId="1" fontId="8" fillId="3" borderId="6" xfId="0" applyNumberFormat="1" applyFont="1" applyFill="1" applyBorder="1"/>
    <xf numFmtId="164" fontId="8" fillId="3" borderId="6" xfId="0" applyNumberFormat="1" applyFont="1" applyFill="1" applyBorder="1"/>
    <xf numFmtId="165" fontId="8" fillId="3" borderId="6" xfId="0" applyNumberFormat="1" applyFont="1" applyFill="1" applyBorder="1"/>
    <xf numFmtId="166" fontId="8" fillId="3" borderId="6" xfId="0" applyNumberFormat="1" applyFont="1" applyFill="1" applyBorder="1"/>
    <xf numFmtId="0" fontId="6" fillId="4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" fontId="0" fillId="0" borderId="0" xfId="0" applyNumberFormat="1"/>
    <xf numFmtId="164" fontId="0" fillId="0" borderId="0" xfId="0" applyNumberFormat="1"/>
    <xf numFmtId="167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10" fillId="0" borderId="0" xfId="0" applyFont="1" applyAlignment="1">
      <alignment horizontal="left"/>
    </xf>
    <xf numFmtId="0" fontId="10" fillId="5" borderId="4" xfId="0" applyFont="1" applyFill="1" applyBorder="1" applyAlignment="1">
      <alignment horizontal="left" vertical="center" wrapText="1"/>
    </xf>
    <xf numFmtId="1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166" fontId="10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167" fontId="10" fillId="0" borderId="0" xfId="0" applyNumberFormat="1" applyFont="1" applyAlignment="1">
      <alignment horizontal="right"/>
    </xf>
    <xf numFmtId="1" fontId="10" fillId="5" borderId="4" xfId="0" applyNumberFormat="1" applyFont="1" applyFill="1" applyBorder="1" applyAlignment="1">
      <alignment horizontal="right" vertical="center" wrapText="1"/>
    </xf>
    <xf numFmtId="0" fontId="10" fillId="5" borderId="4" xfId="0" applyFont="1" applyFill="1" applyBorder="1" applyAlignment="1">
      <alignment horizontal="right" vertical="center" wrapText="1"/>
    </xf>
    <xf numFmtId="166" fontId="10" fillId="5" borderId="4" xfId="0" applyNumberFormat="1" applyFont="1" applyFill="1" applyBorder="1" applyAlignment="1">
      <alignment horizontal="right" vertical="center" wrapText="1"/>
    </xf>
    <xf numFmtId="164" fontId="10" fillId="5" borderId="4" xfId="0" applyNumberFormat="1" applyFont="1" applyFill="1" applyBorder="1" applyAlignment="1">
      <alignment horizontal="right" vertical="center" wrapText="1"/>
    </xf>
    <xf numFmtId="167" fontId="10" fillId="5" borderId="4" xfId="0" applyNumberFormat="1" applyFont="1" applyFill="1" applyBorder="1" applyAlignment="1">
      <alignment horizontal="right" vertical="center" wrapText="1"/>
    </xf>
    <xf numFmtId="0" fontId="12" fillId="5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wrapText="1"/>
    </xf>
    <xf numFmtId="0" fontId="12" fillId="5" borderId="0" xfId="0" applyFont="1" applyFill="1" applyAlignment="1">
      <alignment horizontal="right" vertical="center" wrapText="1"/>
    </xf>
    <xf numFmtId="0" fontId="11" fillId="0" borderId="0" xfId="0" applyFont="1" applyAlignment="1">
      <alignment horizontal="right" wrapText="1"/>
    </xf>
    <xf numFmtId="1" fontId="12" fillId="5" borderId="0" xfId="0" applyNumberFormat="1" applyFont="1" applyFill="1" applyAlignment="1">
      <alignment horizontal="right" vertical="center" wrapText="1"/>
    </xf>
    <xf numFmtId="1" fontId="11" fillId="0" borderId="0" xfId="0" applyNumberFormat="1" applyFont="1" applyAlignment="1">
      <alignment horizontal="right" wrapText="1"/>
    </xf>
    <xf numFmtId="166" fontId="12" fillId="5" borderId="0" xfId="0" applyNumberFormat="1" applyFont="1" applyFill="1" applyAlignment="1">
      <alignment horizontal="right" vertical="center" wrapText="1"/>
    </xf>
    <xf numFmtId="166" fontId="11" fillId="0" borderId="0" xfId="0" applyNumberFormat="1" applyFont="1" applyAlignment="1">
      <alignment horizontal="right" wrapText="1"/>
    </xf>
    <xf numFmtId="166" fontId="11" fillId="0" borderId="0" xfId="0" applyNumberFormat="1" applyFont="1" applyAlignment="1">
      <alignment horizontal="right"/>
    </xf>
    <xf numFmtId="166" fontId="11" fillId="0" borderId="4" xfId="0" applyNumberFormat="1" applyFont="1" applyBorder="1" applyAlignment="1">
      <alignment horizontal="right"/>
    </xf>
    <xf numFmtId="164" fontId="12" fillId="5" borderId="0" xfId="0" applyNumberFormat="1" applyFont="1" applyFill="1" applyAlignment="1">
      <alignment horizontal="right" vertical="center" wrapText="1"/>
    </xf>
    <xf numFmtId="164" fontId="11" fillId="0" borderId="0" xfId="0" applyNumberFormat="1" applyFont="1" applyAlignment="1">
      <alignment horizontal="right" wrapText="1"/>
    </xf>
    <xf numFmtId="164" fontId="11" fillId="0" borderId="0" xfId="0" applyNumberFormat="1" applyFont="1" applyAlignment="1">
      <alignment horizontal="right"/>
    </xf>
    <xf numFmtId="164" fontId="11" fillId="0" borderId="4" xfId="0" applyNumberFormat="1" applyFont="1" applyBorder="1" applyAlignment="1">
      <alignment horizontal="right"/>
    </xf>
    <xf numFmtId="167" fontId="12" fillId="5" borderId="0" xfId="0" applyNumberFormat="1" applyFont="1" applyFill="1" applyAlignment="1">
      <alignment horizontal="right" vertical="center" wrapText="1"/>
    </xf>
    <xf numFmtId="167" fontId="11" fillId="0" borderId="0" xfId="0" applyNumberFormat="1" applyFont="1" applyAlignment="1">
      <alignment horizontal="right" wrapText="1"/>
    </xf>
    <xf numFmtId="167" fontId="11" fillId="0" borderId="0" xfId="0" applyNumberFormat="1" applyFont="1" applyAlignment="1">
      <alignment horizontal="right"/>
    </xf>
    <xf numFmtId="167" fontId="11" fillId="0" borderId="4" xfId="0" applyNumberFormat="1" applyFont="1" applyBorder="1" applyAlignment="1">
      <alignment horizontal="right"/>
    </xf>
    <xf numFmtId="0" fontId="11" fillId="0" borderId="4" xfId="0" applyFont="1" applyBorder="1" applyAlignment="1">
      <alignment horizontal="left" wrapText="1"/>
    </xf>
    <xf numFmtId="1" fontId="11" fillId="0" borderId="4" xfId="0" applyNumberFormat="1" applyFont="1" applyBorder="1" applyAlignment="1">
      <alignment horizontal="right" wrapText="1"/>
    </xf>
    <xf numFmtId="0" fontId="11" fillId="0" borderId="4" xfId="0" applyFont="1" applyBorder="1" applyAlignment="1">
      <alignment horizontal="right" wrapText="1"/>
    </xf>
    <xf numFmtId="0" fontId="13" fillId="10" borderId="0" xfId="0" applyFont="1" applyFill="1" applyAlignment="1">
      <alignment horizontal="left" vertical="center" wrapText="1"/>
    </xf>
    <xf numFmtId="0" fontId="13" fillId="10" borderId="0" xfId="0" applyFont="1" applyFill="1" applyAlignment="1">
      <alignment horizontal="right" vertical="center" wrapText="1"/>
    </xf>
    <xf numFmtId="1" fontId="13" fillId="10" borderId="0" xfId="0" applyNumberFormat="1" applyFont="1" applyFill="1" applyAlignment="1">
      <alignment horizontal="right" vertical="center" wrapText="1"/>
    </xf>
    <xf numFmtId="166" fontId="13" fillId="0" borderId="0" xfId="0" applyNumberFormat="1" applyFont="1" applyAlignment="1">
      <alignment horizontal="right"/>
    </xf>
    <xf numFmtId="166" fontId="13" fillId="10" borderId="0" xfId="0" applyNumberFormat="1" applyFont="1" applyFill="1" applyAlignment="1">
      <alignment horizontal="right" vertical="center" wrapText="1"/>
    </xf>
    <xf numFmtId="166" fontId="13" fillId="0" borderId="4" xfId="0" applyNumberFormat="1" applyFont="1" applyBorder="1" applyAlignment="1">
      <alignment horizontal="right"/>
    </xf>
    <xf numFmtId="164" fontId="13" fillId="0" borderId="0" xfId="0" applyNumberFormat="1" applyFont="1" applyAlignment="1">
      <alignment horizontal="right"/>
    </xf>
    <xf numFmtId="164" fontId="13" fillId="10" borderId="0" xfId="0" applyNumberFormat="1" applyFont="1" applyFill="1" applyAlignment="1">
      <alignment horizontal="right" vertical="center" wrapText="1"/>
    </xf>
    <xf numFmtId="164" fontId="13" fillId="0" borderId="4" xfId="0" applyNumberFormat="1" applyFont="1" applyBorder="1" applyAlignment="1">
      <alignment horizontal="right"/>
    </xf>
    <xf numFmtId="167" fontId="13" fillId="0" borderId="0" xfId="0" applyNumberFormat="1" applyFont="1" applyAlignment="1">
      <alignment horizontal="right"/>
    </xf>
    <xf numFmtId="167" fontId="13" fillId="10" borderId="0" xfId="0" applyNumberFormat="1" applyFont="1" applyFill="1" applyAlignment="1">
      <alignment horizontal="right" vertical="center" wrapText="1"/>
    </xf>
    <xf numFmtId="167" fontId="13" fillId="0" borderId="4" xfId="0" applyNumberFormat="1" applyFont="1" applyBorder="1" applyAlignment="1">
      <alignment horizontal="right"/>
    </xf>
    <xf numFmtId="0" fontId="13" fillId="0" borderId="0" xfId="0" applyFont="1" applyAlignment="1">
      <alignment horizontal="left" wrapText="1"/>
    </xf>
    <xf numFmtId="1" fontId="13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wrapText="1"/>
    </xf>
    <xf numFmtId="0" fontId="13" fillId="0" borderId="4" xfId="0" applyFont="1" applyBorder="1" applyAlignment="1">
      <alignment horizontal="left" wrapText="1"/>
    </xf>
    <xf numFmtId="1" fontId="13" fillId="0" borderId="4" xfId="0" applyNumberFormat="1" applyFont="1" applyBorder="1" applyAlignment="1">
      <alignment horizontal="right" wrapText="1"/>
    </xf>
    <xf numFmtId="0" fontId="13" fillId="0" borderId="4" xfId="0" applyFont="1" applyBorder="1" applyAlignment="1">
      <alignment horizontal="right" wrapText="1"/>
    </xf>
    <xf numFmtId="0" fontId="2" fillId="8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wrapText="1"/>
    </xf>
    <xf numFmtId="0" fontId="2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 wrapText="1"/>
    </xf>
    <xf numFmtId="0" fontId="2" fillId="11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/>
    </xf>
    <xf numFmtId="0" fontId="13" fillId="13" borderId="0" xfId="0" applyFont="1" applyFill="1" applyAlignment="1">
      <alignment horizontal="left" vertical="center" wrapText="1"/>
    </xf>
  </cellXfs>
  <cellStyles count="1">
    <cellStyle name="Normal" xfId="0" builtinId="0"/>
  </cellStyles>
  <dxfs count="62">
    <dxf>
      <font>
        <color rgb="FF475569"/>
      </font>
      <fill>
        <patternFill>
          <bgColor rgb="FFF1F5F9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475569"/>
      </font>
      <fill>
        <patternFill>
          <bgColor rgb="FFF1F5F9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475569"/>
      </font>
      <fill>
        <patternFill>
          <bgColor rgb="FFF1F5F9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475569"/>
      </font>
      <fill>
        <patternFill>
          <bgColor rgb="FFF1F5F9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475569"/>
      </font>
      <fill>
        <patternFill>
          <bgColor rgb="FFF1F5F9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475569"/>
      </font>
      <fill>
        <patternFill>
          <bgColor rgb="FFF1F5F9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475569"/>
      </font>
      <fill>
        <patternFill>
          <bgColor rgb="FFF1F5F9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475569"/>
      </font>
      <fill>
        <patternFill>
          <bgColor rgb="FFF1F5F9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475569"/>
      </font>
      <fill>
        <patternFill>
          <bgColor rgb="FFF1F5F9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475569"/>
      </font>
      <fill>
        <patternFill>
          <bgColor rgb="FFF1F5F9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475569"/>
      </font>
      <fill>
        <patternFill>
          <bgColor rgb="FFF1F5F9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475569"/>
      </font>
      <fill>
        <patternFill>
          <bgColor rgb="FFF3F4F6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475569"/>
      </font>
      <fill>
        <patternFill>
          <bgColor rgb="FFF3F4F6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475569"/>
      </font>
      <fill>
        <patternFill>
          <bgColor rgb="FFF3F4F6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475569"/>
      </font>
      <fill>
        <patternFill>
          <bgColor rgb="FFF3F4F6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475569"/>
      </font>
      <fill>
        <patternFill>
          <bgColor rgb="FFF3F4F6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475569"/>
      </font>
      <fill>
        <patternFill>
          <bgColor rgb="FFF3F4F6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475569"/>
      </font>
      <fill>
        <patternFill>
          <bgColor rgb="FFF1F5F9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475569"/>
      </font>
      <fill>
        <patternFill>
          <bgColor rgb="FFF3F4F6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475569"/>
      </font>
      <fill>
        <patternFill>
          <bgColor rgb="FFF3F4F6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iring2Results" displayName="Pairing2Results" ref="A4:J19" totalsRowShown="0">
  <autoFilter ref="A4:J19" xr:uid="{00000000-0009-0000-0100-000002000000}"/>
  <tableColumns count="10">
    <tableColumn id="1" xr3:uid="{00000000-0010-0000-0100-000001000000}" name="Task"/>
    <tableColumn id="2" xr3:uid="{00000000-0010-0000-0100-000002000000}" name="Off score"/>
    <tableColumn id="3" xr3:uid="{00000000-0010-0000-0100-000003000000}" name="Off regens"/>
    <tableColumn id="4" xr3:uid="{00000000-0010-0000-0100-000004000000}" name="Off total time (min)"/>
    <tableColumn id="5" xr3:uid="{00000000-0010-0000-0100-000005000000}" name="Off cost (USD)"/>
    <tableColumn id="6" xr3:uid="{00000000-0010-0000-0100-000006000000}" name="On score"/>
    <tableColumn id="7" xr3:uid="{00000000-0010-0000-0100-000007000000}" name="On regens"/>
    <tableColumn id="8" xr3:uid="{00000000-0010-0000-0100-000008000000}" name="On total time (min)"/>
    <tableColumn id="9" xr3:uid="{00000000-0010-0000-0100-000009000000}" name="On cost (USD)"/>
    <tableColumn id="10" xr3:uid="{00000000-0010-0000-0100-00000A000000}" name="Effe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iring3Results" displayName="Pairing3Results" ref="A4:J19" totalsRowShown="0">
  <autoFilter ref="A4:J19" xr:uid="{00000000-0009-0000-0100-000003000000}"/>
  <tableColumns count="10">
    <tableColumn id="1" xr3:uid="{00000000-0010-0000-0200-000001000000}" name="Task"/>
    <tableColumn id="2" xr3:uid="{00000000-0010-0000-0200-000002000000}" name="Off score"/>
    <tableColumn id="3" xr3:uid="{00000000-0010-0000-0200-000003000000}" name="Off regens"/>
    <tableColumn id="4" xr3:uid="{00000000-0010-0000-0200-000004000000}" name="Off total time (min)"/>
    <tableColumn id="5" xr3:uid="{00000000-0010-0000-0200-000005000000}" name="Off cost (USD)"/>
    <tableColumn id="6" xr3:uid="{00000000-0010-0000-0200-000006000000}" name="On score"/>
    <tableColumn id="7" xr3:uid="{00000000-0010-0000-0200-000007000000}" name="On regens"/>
    <tableColumn id="8" xr3:uid="{00000000-0010-0000-0200-000008000000}" name="On total time (min)"/>
    <tableColumn id="9" xr3:uid="{00000000-0010-0000-0200-000009000000}" name="On cost (USD)"/>
    <tableColumn id="10" xr3:uid="{00000000-0010-0000-0200-00000A000000}" name="Effe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3000000}" name="Pairing4Results" displayName="Pairing4Results" ref="A4:J20" totalsRowShown="0">
  <tableColumns count="10">
    <tableColumn id="1" xr3:uid="{00000000-0010-0000-0300-000001000000}" name="Task"/>
    <tableColumn id="2" xr3:uid="{00000000-0010-0000-0300-000002000000}" name="Off score"/>
    <tableColumn id="3" xr3:uid="{00000000-0010-0000-0300-000003000000}" name="Off regens"/>
    <tableColumn id="4" xr3:uid="{00000000-0010-0000-0300-000004000000}" name="Off total time (min)"/>
    <tableColumn id="5" xr3:uid="{00000000-0010-0000-0300-000005000000}" name="Off cost (USD)"/>
    <tableColumn id="6" xr3:uid="{00000000-0010-0000-0300-000006000000}" name="On score"/>
    <tableColumn id="7" xr3:uid="{00000000-0010-0000-0300-000007000000}" name="On regens"/>
    <tableColumn id="8" xr3:uid="{00000000-0010-0000-0300-000008000000}" name="On total time (min)"/>
    <tableColumn id="9" xr3:uid="{00000000-0010-0000-0300-000009000000}" name="On cost (USD)"/>
    <tableColumn id="10" xr3:uid="{00000000-0010-0000-0300-00000A000000}" name="Effe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airing5Results" displayName="Pairing5Results" ref="A4:J19" totalsRowShown="0">
  <autoFilter ref="A4:J19" xr:uid="{00000000-0009-0000-0100-000005000000}"/>
  <tableColumns count="10">
    <tableColumn id="1" xr3:uid="{00000000-0010-0000-0400-000001000000}" name="Task"/>
    <tableColumn id="2" xr3:uid="{00000000-0010-0000-0400-000002000000}" name="Off score"/>
    <tableColumn id="3" xr3:uid="{00000000-0010-0000-0400-000003000000}" name="Off regens"/>
    <tableColumn id="4" xr3:uid="{00000000-0010-0000-0400-000004000000}" name="Off total time (min)"/>
    <tableColumn id="5" xr3:uid="{00000000-0010-0000-0400-000005000000}" name="Off cost (USD)"/>
    <tableColumn id="6" xr3:uid="{00000000-0010-0000-0400-000006000000}" name="On score"/>
    <tableColumn id="7" xr3:uid="{00000000-0010-0000-0400-000007000000}" name="On regens"/>
    <tableColumn id="8" xr3:uid="{00000000-0010-0000-0400-000008000000}" name="On total time (min)"/>
    <tableColumn id="9" xr3:uid="{00000000-0010-0000-0400-000009000000}" name="On cost (USD)"/>
    <tableColumn id="10" xr3:uid="{00000000-0010-0000-0400-00000A000000}" name="Effe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airing6Results" displayName="Pairing6Results" ref="A4:J19" totalsRowShown="0">
  <autoFilter ref="A4:J19" xr:uid="{00000000-0009-0000-0100-000006000000}"/>
  <tableColumns count="10">
    <tableColumn id="1" xr3:uid="{00000000-0010-0000-0500-000001000000}" name="Task"/>
    <tableColumn id="2" xr3:uid="{00000000-0010-0000-0500-000002000000}" name="Off score"/>
    <tableColumn id="3" xr3:uid="{00000000-0010-0000-0500-000003000000}" name="Off regens"/>
    <tableColumn id="4" xr3:uid="{00000000-0010-0000-0500-000004000000}" name="Off total time (min)"/>
    <tableColumn id="5" xr3:uid="{00000000-0010-0000-0500-000005000000}" name="Off cost (USD)"/>
    <tableColumn id="6" xr3:uid="{00000000-0010-0000-0500-000006000000}" name="On score"/>
    <tableColumn id="7" xr3:uid="{00000000-0010-0000-0500-000007000000}" name="On regens"/>
    <tableColumn id="8" xr3:uid="{00000000-0010-0000-0500-000008000000}" name="On total time (min)"/>
    <tableColumn id="9" xr3:uid="{00000000-0010-0000-0500-000009000000}" name="On cost (USD)"/>
    <tableColumn id="10" xr3:uid="{00000000-0010-0000-0500-00000A000000}" name="Effe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airing7Results" displayName="Pairing7Results" ref="A4:J19" totalsRowShown="0">
  <autoFilter ref="A4:J19" xr:uid="{00000000-0009-0000-0100-000007000000}"/>
  <tableColumns count="10">
    <tableColumn id="1" xr3:uid="{00000000-0010-0000-0600-000001000000}" name="Task"/>
    <tableColumn id="2" xr3:uid="{00000000-0010-0000-0600-000002000000}" name="Off score"/>
    <tableColumn id="3" xr3:uid="{00000000-0010-0000-0600-000003000000}" name="Off regens"/>
    <tableColumn id="4" xr3:uid="{00000000-0010-0000-0600-000004000000}" name="Off total time (min)"/>
    <tableColumn id="5" xr3:uid="{00000000-0010-0000-0600-000005000000}" name="Off cost (USD)"/>
    <tableColumn id="6" xr3:uid="{00000000-0010-0000-0600-000006000000}" name="On score"/>
    <tableColumn id="7" xr3:uid="{00000000-0010-0000-0600-000007000000}" name="On regens"/>
    <tableColumn id="8" xr3:uid="{00000000-0010-0000-0600-000008000000}" name="On total time (min)"/>
    <tableColumn id="9" xr3:uid="{00000000-0010-0000-0600-000009000000}" name="On cost (USD)"/>
    <tableColumn id="10" xr3:uid="{00000000-0010-0000-0600-00000A000000}" name="Effec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airing8Results" displayName="Pairing8Results" ref="A4:J19" totalsRowShown="0">
  <autoFilter ref="A4:J19" xr:uid="{00000000-0009-0000-0100-000008000000}"/>
  <tableColumns count="10">
    <tableColumn id="1" xr3:uid="{00000000-0010-0000-0700-000001000000}" name="Task"/>
    <tableColumn id="2" xr3:uid="{00000000-0010-0000-0700-000002000000}" name="Off score"/>
    <tableColumn id="3" xr3:uid="{00000000-0010-0000-0700-000003000000}" name="Off regens"/>
    <tableColumn id="4" xr3:uid="{00000000-0010-0000-0700-000004000000}" name="Off total time (min)"/>
    <tableColumn id="5" xr3:uid="{00000000-0010-0000-0700-000005000000}" name="Off cost (USD)"/>
    <tableColumn id="6" xr3:uid="{00000000-0010-0000-0700-000006000000}" name="On score"/>
    <tableColumn id="7" xr3:uid="{00000000-0010-0000-0700-000007000000}" name="On regens"/>
    <tableColumn id="8" xr3:uid="{00000000-0010-0000-0700-000008000000}" name="On total time (min)"/>
    <tableColumn id="9" xr3:uid="{00000000-0010-0000-0700-000009000000}" name="On cost (USD)"/>
    <tableColumn id="10" xr3:uid="{00000000-0010-0000-0700-00000A000000}" name="Effec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airing9Results" displayName="Pairing9Results" ref="A4:J19" totalsRowShown="0">
  <autoFilter ref="A4:J19" xr:uid="{00000000-0009-0000-0100-000009000000}"/>
  <tableColumns count="10">
    <tableColumn id="1" xr3:uid="{00000000-0010-0000-0800-000001000000}" name="Task"/>
    <tableColumn id="2" xr3:uid="{00000000-0010-0000-0800-000002000000}" name="Off score"/>
    <tableColumn id="3" xr3:uid="{00000000-0010-0000-0800-000003000000}" name="Off regens"/>
    <tableColumn id="4" xr3:uid="{00000000-0010-0000-0800-000004000000}" name="Off total time (min)"/>
    <tableColumn id="5" xr3:uid="{00000000-0010-0000-0800-000005000000}" name="Off cost (USD)"/>
    <tableColumn id="6" xr3:uid="{00000000-0010-0000-0800-000006000000}" name="On score"/>
    <tableColumn id="7" xr3:uid="{00000000-0010-0000-0800-000007000000}" name="On regens"/>
    <tableColumn id="8" xr3:uid="{00000000-0010-0000-0800-000008000000}" name="On total time (min)"/>
    <tableColumn id="9" xr3:uid="{00000000-0010-0000-0800-000009000000}" name="On cost (USD)"/>
    <tableColumn id="10" xr3:uid="{00000000-0010-0000-0800-00000A000000}" name="Effec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airing11Results" displayName="Pairing11Results" ref="A4:J20" totalsRowShown="0">
  <tableColumns count="10">
    <tableColumn id="1" xr3:uid="{00000000-0010-0000-0900-000001000000}" name="Task"/>
    <tableColumn id="2" xr3:uid="{00000000-0010-0000-0900-000002000000}" name="Off score"/>
    <tableColumn id="3" xr3:uid="{00000000-0010-0000-0900-000003000000}" name="Off regens"/>
    <tableColumn id="4" xr3:uid="{00000000-0010-0000-0900-000004000000}" name="Off total time (min)"/>
    <tableColumn id="5" xr3:uid="{00000000-0010-0000-0900-000005000000}" name="Off cost (USD)"/>
    <tableColumn id="6" xr3:uid="{00000000-0010-0000-0900-000006000000}" name="On score"/>
    <tableColumn id="7" xr3:uid="{00000000-0010-0000-0900-000007000000}" name="On regens"/>
    <tableColumn id="8" xr3:uid="{00000000-0010-0000-0900-000008000000}" name="On total time (min)"/>
    <tableColumn id="9" xr3:uid="{00000000-0010-0000-0900-000009000000}" name="On cost (USD)"/>
    <tableColumn id="10" xr3:uid="{00000000-0010-0000-0900-00000A000000}" name="Effec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airing12Results" displayName="Pairing12Results" ref="A4:J20" totalsRowShown="0">
  <tableColumns count="10">
    <tableColumn id="1" xr3:uid="{00000000-0010-0000-0A00-000001000000}" name="Task"/>
    <tableColumn id="2" xr3:uid="{00000000-0010-0000-0A00-000002000000}" name="Off score"/>
    <tableColumn id="3" xr3:uid="{00000000-0010-0000-0A00-000003000000}" name="Off regens"/>
    <tableColumn id="4" xr3:uid="{00000000-0010-0000-0A00-000004000000}" name="Off total time (min)"/>
    <tableColumn id="5" xr3:uid="{00000000-0010-0000-0A00-000005000000}" name="Off cost (USD)"/>
    <tableColumn id="6" xr3:uid="{00000000-0010-0000-0A00-000006000000}" name="On score"/>
    <tableColumn id="7" xr3:uid="{00000000-0010-0000-0A00-000007000000}" name="On regens"/>
    <tableColumn id="8" xr3:uid="{00000000-0010-0000-0A00-000008000000}" name="On total time (min)"/>
    <tableColumn id="9" xr3:uid="{00000000-0010-0000-0A00-000009000000}" name="On cost (USD)"/>
    <tableColumn id="10" xr3:uid="{00000000-0010-0000-0A00-00000A000000}" name="Effec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airing13Results" displayName="Pairing13Results" ref="A4:J20" totalsRowShown="0">
  <tableColumns count="10">
    <tableColumn id="1" xr3:uid="{00000000-0010-0000-0B00-000001000000}" name="Task"/>
    <tableColumn id="2" xr3:uid="{00000000-0010-0000-0B00-000002000000}" name="Off score"/>
    <tableColumn id="3" xr3:uid="{00000000-0010-0000-0B00-000003000000}" name="Off regens"/>
    <tableColumn id="4" xr3:uid="{00000000-0010-0000-0B00-000004000000}" name="Off total time (min)"/>
    <tableColumn id="5" xr3:uid="{00000000-0010-0000-0B00-000005000000}" name="Off cost (USD)"/>
    <tableColumn id="6" xr3:uid="{00000000-0010-0000-0B00-000006000000}" name="On score"/>
    <tableColumn id="7" xr3:uid="{00000000-0010-0000-0B00-000007000000}" name="On regens"/>
    <tableColumn id="8" xr3:uid="{00000000-0010-0000-0B00-000008000000}" name="On total time (min)"/>
    <tableColumn id="9" xr3:uid="{00000000-0010-0000-0B00-000009000000}" name="On cost (USD)"/>
    <tableColumn id="10" xr3:uid="{00000000-0010-0000-0B00-00000A000000}" name="Effec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airing14Results" displayName="Pairing14Results" ref="A4:J20" totalsRowShown="0">
  <tableColumns count="10">
    <tableColumn id="1" xr3:uid="{00000000-0010-0000-0C00-000001000000}" name="Task"/>
    <tableColumn id="2" xr3:uid="{00000000-0010-0000-0C00-000002000000}" name="Off score"/>
    <tableColumn id="3" xr3:uid="{00000000-0010-0000-0C00-000003000000}" name="Off regens"/>
    <tableColumn id="4" xr3:uid="{00000000-0010-0000-0C00-000004000000}" name="Off total time (min)"/>
    <tableColumn id="5" xr3:uid="{00000000-0010-0000-0C00-000005000000}" name="Off cost (USD)"/>
    <tableColumn id="6" xr3:uid="{00000000-0010-0000-0C00-000006000000}" name="On score"/>
    <tableColumn id="7" xr3:uid="{00000000-0010-0000-0C00-000007000000}" name="On regens"/>
    <tableColumn id="8" xr3:uid="{00000000-0010-0000-0C00-000008000000}" name="On total time (min)"/>
    <tableColumn id="9" xr3:uid="{00000000-0010-0000-0C00-000009000000}" name="On cost (USD)"/>
    <tableColumn id="10" xr3:uid="{00000000-0010-0000-0C00-00000A000000}" name="Effec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airing15Results" displayName="Pairing15Results" ref="A4:J20" totalsRowShown="0">
  <tableColumns count="10">
    <tableColumn id="1" xr3:uid="{00000000-0010-0000-0D00-000001000000}" name="Task"/>
    <tableColumn id="2" xr3:uid="{00000000-0010-0000-0D00-000002000000}" name="Off score"/>
    <tableColumn id="3" xr3:uid="{00000000-0010-0000-0D00-000003000000}" name="Off regens"/>
    <tableColumn id="4" xr3:uid="{00000000-0010-0000-0D00-000004000000}" name="Off total time (min)"/>
    <tableColumn id="5" xr3:uid="{00000000-0010-0000-0D00-000005000000}" name="Off cost (USD)"/>
    <tableColumn id="6" xr3:uid="{00000000-0010-0000-0D00-000006000000}" name="On score"/>
    <tableColumn id="7" xr3:uid="{00000000-0010-0000-0D00-000007000000}" name="On regens"/>
    <tableColumn id="8" xr3:uid="{00000000-0010-0000-0D00-000008000000}" name="On total time (min)"/>
    <tableColumn id="9" xr3:uid="{00000000-0010-0000-0D00-000009000000}" name="On cost (USD)"/>
    <tableColumn id="10" xr3:uid="{00000000-0010-0000-0D00-00000A000000}" name="Effec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Pairing16Results" displayName="Pairing16Results" ref="A4:J20" totalsRowShown="0">
  <tableColumns count="10">
    <tableColumn id="1" xr3:uid="{00000000-0010-0000-0E00-000001000000}" name="Task"/>
    <tableColumn id="2" xr3:uid="{00000000-0010-0000-0E00-000002000000}" name="Off score"/>
    <tableColumn id="3" xr3:uid="{00000000-0010-0000-0E00-000003000000}" name="Off regens"/>
    <tableColumn id="4" xr3:uid="{00000000-0010-0000-0E00-000004000000}" name="Off total time (min)"/>
    <tableColumn id="5" xr3:uid="{00000000-0010-0000-0E00-000005000000}" name="Off cost (USD)"/>
    <tableColumn id="6" xr3:uid="{00000000-0010-0000-0E00-000006000000}" name="On score"/>
    <tableColumn id="7" xr3:uid="{00000000-0010-0000-0E00-000007000000}" name="On regens"/>
    <tableColumn id="8" xr3:uid="{00000000-0010-0000-0E00-000008000000}" name="On total time (min)"/>
    <tableColumn id="9" xr3:uid="{00000000-0010-0000-0E00-000009000000}" name="On cost (USD)"/>
    <tableColumn id="10" xr3:uid="{00000000-0010-0000-0E00-00000A000000}" name="Effec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Pairing17Results" displayName="Pairing17Results" ref="A4:J20" totalsRowShown="0">
  <tableColumns count="10">
    <tableColumn id="1" xr3:uid="{00000000-0010-0000-0F00-000001000000}" name="Task"/>
    <tableColumn id="2" xr3:uid="{00000000-0010-0000-0F00-000002000000}" name="Off score"/>
    <tableColumn id="3" xr3:uid="{00000000-0010-0000-0F00-000003000000}" name="Off regens"/>
    <tableColumn id="4" xr3:uid="{00000000-0010-0000-0F00-000004000000}" name="Off total time (min)"/>
    <tableColumn id="5" xr3:uid="{00000000-0010-0000-0F00-000005000000}" name="Off cost (USD)"/>
    <tableColumn id="6" xr3:uid="{00000000-0010-0000-0F00-000006000000}" name="On score"/>
    <tableColumn id="7" xr3:uid="{00000000-0010-0000-0F00-000007000000}" name="On regens"/>
    <tableColumn id="8" xr3:uid="{00000000-0010-0000-0F00-000008000000}" name="On total time (min)"/>
    <tableColumn id="9" xr3:uid="{00000000-0010-0000-0F00-000009000000}" name="On cost (USD)"/>
    <tableColumn id="10" xr3:uid="{00000000-0010-0000-0F00-00000A000000}" name="Effec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Pairing18Results" displayName="Pairing18Results" ref="A4:J20" totalsRowShown="0">
  <tableColumns count="10">
    <tableColumn id="1" xr3:uid="{00000000-0010-0000-1000-000001000000}" name="Task"/>
    <tableColumn id="2" xr3:uid="{00000000-0010-0000-1000-000002000000}" name="Off score"/>
    <tableColumn id="3" xr3:uid="{00000000-0010-0000-1000-000003000000}" name="Off regens"/>
    <tableColumn id="4" xr3:uid="{00000000-0010-0000-1000-000004000000}" name="Off total time (min)"/>
    <tableColumn id="5" xr3:uid="{00000000-0010-0000-1000-000005000000}" name="Off cost (USD)"/>
    <tableColumn id="6" xr3:uid="{00000000-0010-0000-1000-000006000000}" name="On score"/>
    <tableColumn id="7" xr3:uid="{00000000-0010-0000-1000-000007000000}" name="On regens"/>
    <tableColumn id="8" xr3:uid="{00000000-0010-0000-1000-000008000000}" name="On total time (min)"/>
    <tableColumn id="9" xr3:uid="{00000000-0010-0000-1000-000009000000}" name="On cost (USD)"/>
    <tableColumn id="10" xr3:uid="{00000000-0010-0000-1000-00000A000000}" name="Effec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1000000}" name="Pairing19Results" displayName="Pairing19Results" ref="A4:J20" totalsRowShown="0">
  <tableColumns count="10">
    <tableColumn id="1" xr3:uid="{00000000-0010-0000-1100-000001000000}" name="Task"/>
    <tableColumn id="2" xr3:uid="{00000000-0010-0000-1100-000002000000}" name="Off score"/>
    <tableColumn id="3" xr3:uid="{00000000-0010-0000-1100-000003000000}" name="Off regens"/>
    <tableColumn id="4" xr3:uid="{00000000-0010-0000-1100-000004000000}" name="Off total time (min)"/>
    <tableColumn id="5" xr3:uid="{00000000-0010-0000-1100-000005000000}" name="Off cost (USD)"/>
    <tableColumn id="6" xr3:uid="{00000000-0010-0000-1100-000006000000}" name="On score"/>
    <tableColumn id="7" xr3:uid="{00000000-0010-0000-1100-000007000000}" name="On regens"/>
    <tableColumn id="8" xr3:uid="{00000000-0010-0000-1100-000008000000}" name="On total time (min)"/>
    <tableColumn id="9" xr3:uid="{00000000-0010-0000-1100-000009000000}" name="On cost (USD)"/>
    <tableColumn id="10" xr3:uid="{00000000-0010-0000-1100-00000A000000}" name="Effec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Pairing20Results" displayName="Pairing20Results" ref="A4:J20" totalsRowShown="0">
  <tableColumns count="10">
    <tableColumn id="1" xr3:uid="{00000000-0010-0000-1200-000001000000}" name="Task"/>
    <tableColumn id="2" xr3:uid="{00000000-0010-0000-1200-000002000000}" name="Off score"/>
    <tableColumn id="3" xr3:uid="{00000000-0010-0000-1200-000003000000}" name="Off regens"/>
    <tableColumn id="4" xr3:uid="{00000000-0010-0000-1200-000004000000}" name="Off total time (min)"/>
    <tableColumn id="5" xr3:uid="{00000000-0010-0000-1200-000005000000}" name="Off cost (USD)"/>
    <tableColumn id="6" xr3:uid="{00000000-0010-0000-1200-000006000000}" name="On score"/>
    <tableColumn id="7" xr3:uid="{00000000-0010-0000-1200-000007000000}" name="On regens"/>
    <tableColumn id="8" xr3:uid="{00000000-0010-0000-1200-000008000000}" name="On total time (min)"/>
    <tableColumn id="9" xr3:uid="{00000000-0010-0000-1200-000009000000}" name="On cost (USD)"/>
    <tableColumn id="10" xr3:uid="{00000000-0010-0000-1200-00000A000000}" name="Eff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showGridLines="0" workbookViewId="0">
      <selection activeCell="A2" sqref="A2:J2"/>
    </sheetView>
  </sheetViews>
  <sheetFormatPr defaultRowHeight="13.5"/>
  <cols>
    <col min="1" max="1" width="18" customWidth="1"/>
    <col min="2" max="2" width="25" customWidth="1"/>
    <col min="3" max="3" width="12" customWidth="1"/>
    <col min="4" max="4" width="16" customWidth="1"/>
    <col min="5" max="5" width="19" customWidth="1"/>
    <col min="6" max="6" width="25" customWidth="1"/>
    <col min="7" max="7" width="12" customWidth="1"/>
    <col min="8" max="8" width="16" customWidth="1"/>
    <col min="9" max="9" width="19" customWidth="1"/>
    <col min="10" max="10" width="11" customWidth="1"/>
  </cols>
  <sheetData>
    <row r="1" spans="1:10" ht="28.05" customHeight="1">
      <c r="A1" s="89" t="s">
        <v>20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ht="32" customHeight="1">
      <c r="A2" s="90"/>
      <c r="B2" s="90"/>
      <c r="C2" s="90"/>
      <c r="D2" s="90"/>
      <c r="E2" s="90"/>
      <c r="F2" s="90"/>
      <c r="G2" s="90"/>
      <c r="H2" s="90"/>
      <c r="I2" s="90"/>
      <c r="J2" s="90"/>
    </row>
    <row r="3" spans="1:10" ht="14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0" customHeight="1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4" t="s">
        <v>9</v>
      </c>
    </row>
    <row r="5" spans="1:10" ht="14.25">
      <c r="A5" s="5" t="s">
        <v>21</v>
      </c>
      <c r="B5" s="6" t="s">
        <v>22</v>
      </c>
      <c r="C5" s="7">
        <v>0</v>
      </c>
      <c r="D5" s="8">
        <v>11.4</v>
      </c>
      <c r="E5" s="9">
        <v>2.1294999999999999E-3</v>
      </c>
      <c r="F5" s="6" t="s">
        <v>22</v>
      </c>
      <c r="G5" s="7">
        <v>0</v>
      </c>
      <c r="H5" s="8">
        <v>11.4</v>
      </c>
      <c r="I5" s="9">
        <v>5.6755E-3</v>
      </c>
      <c r="J5" s="10">
        <f t="shared" ref="J5:J19" si="0">IFERROR(VALUE(LEFT(F5,FIND("/",F5)-1))-VALUE(LEFT(B5,FIND("/",B5)-1)),"N/A")</f>
        <v>0</v>
      </c>
    </row>
    <row r="6" spans="1:10" ht="14.25">
      <c r="A6" s="11" t="s">
        <v>23</v>
      </c>
      <c r="B6" s="12" t="s">
        <v>24</v>
      </c>
      <c r="C6" s="13">
        <v>0</v>
      </c>
      <c r="D6" s="14">
        <v>9.6</v>
      </c>
      <c r="E6" s="15">
        <v>9.7674999999999997E-4</v>
      </c>
      <c r="F6" s="12" t="s">
        <v>24</v>
      </c>
      <c r="G6" s="13">
        <v>0</v>
      </c>
      <c r="H6" s="14">
        <v>9.6999999999999993</v>
      </c>
      <c r="I6" s="15">
        <v>3.3115000000000002E-3</v>
      </c>
      <c r="J6" s="16">
        <f t="shared" si="0"/>
        <v>0</v>
      </c>
    </row>
    <row r="7" spans="1:10" ht="14.25">
      <c r="A7" s="11" t="s">
        <v>25</v>
      </c>
      <c r="B7" s="12" t="s">
        <v>24</v>
      </c>
      <c r="C7" s="13">
        <v>0</v>
      </c>
      <c r="D7" s="14">
        <v>10.5</v>
      </c>
      <c r="E7" s="15">
        <v>6.1487499999999997E-4</v>
      </c>
      <c r="F7" s="12" t="s">
        <v>24</v>
      </c>
      <c r="G7" s="13">
        <v>0</v>
      </c>
      <c r="H7" s="14">
        <v>9.8000000000000007</v>
      </c>
      <c r="I7" s="15">
        <v>2.2993750000000002E-3</v>
      </c>
      <c r="J7" s="16">
        <f t="shared" si="0"/>
        <v>0</v>
      </c>
    </row>
    <row r="8" spans="1:10" ht="14.25">
      <c r="A8" s="11" t="s">
        <v>26</v>
      </c>
      <c r="B8" s="12" t="s">
        <v>27</v>
      </c>
      <c r="C8" s="13">
        <v>0</v>
      </c>
      <c r="D8" s="14">
        <v>10.8</v>
      </c>
      <c r="E8" s="15">
        <v>9.76125E-4</v>
      </c>
      <c r="F8" s="12" t="s">
        <v>22</v>
      </c>
      <c r="G8" s="13">
        <v>1</v>
      </c>
      <c r="H8" s="14">
        <v>11.1</v>
      </c>
      <c r="I8" s="15">
        <v>1.0275625E-2</v>
      </c>
      <c r="J8" s="16">
        <f t="shared" si="0"/>
        <v>1</v>
      </c>
    </row>
    <row r="9" spans="1:10" ht="14.25">
      <c r="A9" s="11" t="s">
        <v>28</v>
      </c>
      <c r="B9" s="12" t="s">
        <v>27</v>
      </c>
      <c r="C9" s="13">
        <v>0</v>
      </c>
      <c r="D9" s="14">
        <v>10.6</v>
      </c>
      <c r="E9" s="15">
        <v>2.2138750000000001E-3</v>
      </c>
      <c r="F9" s="12" t="s">
        <v>24</v>
      </c>
      <c r="G9" s="13">
        <v>1</v>
      </c>
      <c r="H9" s="14">
        <v>11</v>
      </c>
      <c r="I9" s="15">
        <v>1.1881625E-2</v>
      </c>
      <c r="J9" s="16">
        <f t="shared" si="0"/>
        <v>2</v>
      </c>
    </row>
    <row r="10" spans="1:10" ht="14.25">
      <c r="A10" s="11" t="s">
        <v>10</v>
      </c>
      <c r="B10" s="12" t="s">
        <v>11</v>
      </c>
      <c r="C10" s="13">
        <v>0</v>
      </c>
      <c r="D10" s="14">
        <v>14.7</v>
      </c>
      <c r="E10" s="15">
        <v>1.5922499999999999E-3</v>
      </c>
      <c r="F10" s="12" t="s">
        <v>11</v>
      </c>
      <c r="G10" s="13">
        <v>0</v>
      </c>
      <c r="H10" s="14">
        <v>15.2</v>
      </c>
      <c r="I10" s="15">
        <v>5.5620000000000001E-3</v>
      </c>
      <c r="J10" s="16">
        <f t="shared" si="0"/>
        <v>0</v>
      </c>
    </row>
    <row r="11" spans="1:10" ht="14.25">
      <c r="A11" s="11" t="s">
        <v>12</v>
      </c>
      <c r="B11" s="12" t="s">
        <v>13</v>
      </c>
      <c r="C11" s="13">
        <v>0</v>
      </c>
      <c r="D11" s="14">
        <v>10.199999999999999</v>
      </c>
      <c r="E11" s="15">
        <v>1.2542499999999999E-3</v>
      </c>
      <c r="F11" s="12" t="s">
        <v>11</v>
      </c>
      <c r="G11" s="13">
        <v>1</v>
      </c>
      <c r="H11" s="14">
        <v>10.8</v>
      </c>
      <c r="I11" s="15">
        <v>1.0060400000000001E-2</v>
      </c>
      <c r="J11" s="16">
        <f t="shared" si="0"/>
        <v>1</v>
      </c>
    </row>
    <row r="12" spans="1:10" ht="14.25">
      <c r="A12" s="11" t="s">
        <v>14</v>
      </c>
      <c r="B12" s="12" t="s">
        <v>11</v>
      </c>
      <c r="C12" s="13">
        <v>0</v>
      </c>
      <c r="D12" s="14">
        <v>11.8</v>
      </c>
      <c r="E12" s="15">
        <v>1.6117499999999999E-3</v>
      </c>
      <c r="F12" s="12" t="s">
        <v>11</v>
      </c>
      <c r="G12" s="13">
        <v>0</v>
      </c>
      <c r="H12" s="14">
        <v>11.8</v>
      </c>
      <c r="I12" s="15">
        <v>5.5065000000000001E-3</v>
      </c>
      <c r="J12" s="16">
        <f t="shared" si="0"/>
        <v>0</v>
      </c>
    </row>
    <row r="13" spans="1:10" ht="14.25">
      <c r="A13" s="11" t="s">
        <v>15</v>
      </c>
      <c r="B13" s="12" t="s">
        <v>16</v>
      </c>
      <c r="C13" s="13">
        <v>0</v>
      </c>
      <c r="D13" s="14">
        <v>11.4</v>
      </c>
      <c r="E13" s="15">
        <v>1.621E-3</v>
      </c>
      <c r="F13" s="12" t="s">
        <v>29</v>
      </c>
      <c r="G13" s="13">
        <v>1</v>
      </c>
      <c r="H13" s="14">
        <v>12.3</v>
      </c>
      <c r="I13" s="15">
        <v>1.426615E-2</v>
      </c>
      <c r="J13" s="16">
        <f t="shared" si="0"/>
        <v>3</v>
      </c>
    </row>
    <row r="14" spans="1:10" ht="14.25">
      <c r="A14" s="11" t="s">
        <v>18</v>
      </c>
      <c r="B14" s="12" t="s">
        <v>13</v>
      </c>
      <c r="C14" s="13">
        <v>0</v>
      </c>
      <c r="D14" s="14">
        <v>11.9</v>
      </c>
      <c r="E14" s="15">
        <v>1.8866250000000001E-3</v>
      </c>
      <c r="F14" s="12" t="s">
        <v>11</v>
      </c>
      <c r="G14" s="13">
        <v>1</v>
      </c>
      <c r="H14" s="14">
        <v>13.5</v>
      </c>
      <c r="I14" s="15">
        <v>1.3977775E-2</v>
      </c>
      <c r="J14" s="16">
        <f t="shared" si="0"/>
        <v>1</v>
      </c>
    </row>
    <row r="15" spans="1:10" ht="14.25">
      <c r="A15" s="11" t="s">
        <v>30</v>
      </c>
      <c r="B15" s="12" t="s">
        <v>31</v>
      </c>
      <c r="C15" s="13">
        <v>0</v>
      </c>
      <c r="D15" s="14">
        <v>13.9</v>
      </c>
      <c r="E15" s="15">
        <v>2.2463750000000001E-3</v>
      </c>
      <c r="F15" s="12" t="s">
        <v>32</v>
      </c>
      <c r="G15" s="13">
        <v>1</v>
      </c>
      <c r="H15" s="14">
        <v>15.8</v>
      </c>
      <c r="I15" s="15">
        <v>1.4675775E-2</v>
      </c>
      <c r="J15" s="16">
        <f t="shared" si="0"/>
        <v>3</v>
      </c>
    </row>
    <row r="16" spans="1:10" ht="14.25">
      <c r="A16" s="11" t="s">
        <v>33</v>
      </c>
      <c r="B16" s="12" t="s">
        <v>34</v>
      </c>
      <c r="C16" s="13">
        <v>0</v>
      </c>
      <c r="D16" s="14">
        <v>13.4</v>
      </c>
      <c r="E16" s="15">
        <v>2.7671250000000001E-3</v>
      </c>
      <c r="F16" s="12" t="s">
        <v>34</v>
      </c>
      <c r="G16" s="13">
        <v>0</v>
      </c>
      <c r="H16" s="14">
        <v>13.7</v>
      </c>
      <c r="I16" s="15">
        <v>1.1567625E-2</v>
      </c>
      <c r="J16" s="16">
        <f t="shared" si="0"/>
        <v>0</v>
      </c>
    </row>
    <row r="17" spans="1:10" ht="14.25">
      <c r="A17" s="11" t="s">
        <v>35</v>
      </c>
      <c r="B17" s="12" t="s">
        <v>36</v>
      </c>
      <c r="C17" s="13">
        <v>1</v>
      </c>
      <c r="D17" s="14">
        <v>23.4</v>
      </c>
      <c r="E17" s="15">
        <v>1.3198125E-2</v>
      </c>
      <c r="F17" s="12" t="s">
        <v>36</v>
      </c>
      <c r="G17" s="13">
        <v>5</v>
      </c>
      <c r="H17" s="14">
        <v>41.1</v>
      </c>
      <c r="I17" s="15">
        <v>9.9162225000000007E-2</v>
      </c>
      <c r="J17" s="16">
        <f t="shared" si="0"/>
        <v>0</v>
      </c>
    </row>
    <row r="18" spans="1:10" ht="14.25">
      <c r="A18" s="11" t="s">
        <v>37</v>
      </c>
      <c r="B18" s="12" t="s">
        <v>34</v>
      </c>
      <c r="C18" s="13">
        <v>0</v>
      </c>
      <c r="D18" s="14">
        <v>13.4</v>
      </c>
      <c r="E18" s="15">
        <v>2.6294999999999999E-3</v>
      </c>
      <c r="F18" s="12" t="s">
        <v>34</v>
      </c>
      <c r="G18" s="13">
        <v>0</v>
      </c>
      <c r="H18" s="14">
        <v>13.9</v>
      </c>
      <c r="I18" s="15">
        <v>8.6070000000000001E-3</v>
      </c>
      <c r="J18" s="16">
        <f t="shared" si="0"/>
        <v>0</v>
      </c>
    </row>
    <row r="19" spans="1:10" ht="14.25">
      <c r="A19" s="17" t="s">
        <v>38</v>
      </c>
      <c r="B19" s="18" t="s">
        <v>39</v>
      </c>
      <c r="C19" s="19">
        <v>5</v>
      </c>
      <c r="D19" s="20">
        <v>43.1</v>
      </c>
      <c r="E19" s="21">
        <v>4.8179525000000001E-2</v>
      </c>
      <c r="F19" s="18" t="s">
        <v>31</v>
      </c>
      <c r="G19" s="19">
        <v>4</v>
      </c>
      <c r="H19" s="20">
        <v>28.1</v>
      </c>
      <c r="I19" s="21">
        <v>8.2714675000000001E-2</v>
      </c>
      <c r="J19" s="22" t="str">
        <f t="shared" si="0"/>
        <v>N/A</v>
      </c>
    </row>
    <row r="20" spans="1:10" ht="14.25">
      <c r="A20" s="23" t="s">
        <v>19</v>
      </c>
      <c r="B20" s="23" t="s">
        <v>40</v>
      </c>
      <c r="C20" s="24">
        <f>SUM(C5:C19)</f>
        <v>6</v>
      </c>
      <c r="D20" s="25">
        <f>SUM(D5:D19)</f>
        <v>220.10000000000002</v>
      </c>
      <c r="E20" s="26">
        <f>SUM(E5:E19)</f>
        <v>8.3897650000000004E-2</v>
      </c>
      <c r="F20" s="23" t="s">
        <v>41</v>
      </c>
      <c r="G20" s="24">
        <f>SUM(G5:G19)</f>
        <v>15</v>
      </c>
      <c r="H20" s="25">
        <f>SUM(H5:H19)</f>
        <v>229.2</v>
      </c>
      <c r="I20" s="26">
        <f>SUM(I5:I19)</f>
        <v>0.29954375</v>
      </c>
      <c r="J20" s="27">
        <f>SUM(J5:J19)</f>
        <v>11</v>
      </c>
    </row>
  </sheetData>
  <mergeCells count="2">
    <mergeCell ref="A1:J1"/>
    <mergeCell ref="A2:J2"/>
  </mergeCells>
  <conditionalFormatting sqref="J5:J19">
    <cfRule type="cellIs" dxfId="61" priority="1" operator="greaterThan">
      <formula>0</formula>
    </cfRule>
    <cfRule type="cellIs" dxfId="60" priority="2" operator="lessThan">
      <formula>0</formula>
    </cfRule>
    <cfRule type="cellIs" dxfId="59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showGridLines="0" workbookViewId="0">
      <selection activeCell="A2" sqref="A2:J2"/>
    </sheetView>
  </sheetViews>
  <sheetFormatPr defaultRowHeight="13.5"/>
  <cols>
    <col min="1" max="1" width="18" customWidth="1"/>
    <col min="2" max="2" width="25" customWidth="1"/>
    <col min="3" max="3" width="12" customWidth="1"/>
    <col min="4" max="4" width="16" customWidth="1"/>
    <col min="5" max="5" width="19" customWidth="1"/>
    <col min="6" max="6" width="25" customWidth="1"/>
    <col min="7" max="7" width="12" customWidth="1"/>
    <col min="8" max="8" width="16" customWidth="1"/>
    <col min="9" max="9" width="19" customWidth="1"/>
    <col min="10" max="10" width="11" customWidth="1"/>
  </cols>
  <sheetData>
    <row r="1" spans="1:10" ht="28.05" customHeight="1">
      <c r="A1" s="89" t="s">
        <v>42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ht="32" customHeight="1">
      <c r="A2" s="90"/>
      <c r="B2" s="90"/>
      <c r="C2" s="90"/>
      <c r="D2" s="90"/>
      <c r="E2" s="90"/>
      <c r="F2" s="90"/>
      <c r="G2" s="90"/>
      <c r="H2" s="90"/>
      <c r="I2" s="90"/>
      <c r="J2" s="90"/>
    </row>
    <row r="3" spans="1:10" ht="14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0" customHeight="1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4" t="s">
        <v>9</v>
      </c>
    </row>
    <row r="5" spans="1:10" ht="14.25">
      <c r="A5" s="5" t="s">
        <v>21</v>
      </c>
      <c r="B5" s="6" t="s">
        <v>24</v>
      </c>
      <c r="C5" s="7">
        <v>0</v>
      </c>
      <c r="D5" s="8">
        <v>11.1</v>
      </c>
      <c r="E5" s="9">
        <v>2.8005E-3</v>
      </c>
      <c r="F5" s="6" t="s">
        <v>24</v>
      </c>
      <c r="G5" s="7">
        <v>0</v>
      </c>
      <c r="H5" s="8">
        <v>11.6</v>
      </c>
      <c r="I5" s="9">
        <v>5.4615000000000002E-3</v>
      </c>
      <c r="J5" s="10">
        <f t="shared" ref="J5:J19" si="0">IFERROR(VALUE(LEFT(F5,FIND("/",F5)-1))-VALUE(LEFT(B5,FIND("/",B5)-1)),"N/A")</f>
        <v>0</v>
      </c>
    </row>
    <row r="6" spans="1:10" ht="14.25">
      <c r="A6" s="11" t="s">
        <v>23</v>
      </c>
      <c r="B6" s="12" t="s">
        <v>24</v>
      </c>
      <c r="C6" s="13">
        <v>0</v>
      </c>
      <c r="D6" s="14">
        <v>9.6999999999999993</v>
      </c>
      <c r="E6" s="15">
        <v>1.55025E-3</v>
      </c>
      <c r="F6" s="12" t="s">
        <v>24</v>
      </c>
      <c r="G6" s="13">
        <v>0</v>
      </c>
      <c r="H6" s="14">
        <v>9.6999999999999993</v>
      </c>
      <c r="I6" s="15">
        <v>3.64125E-3</v>
      </c>
      <c r="J6" s="16">
        <f t="shared" si="0"/>
        <v>0</v>
      </c>
    </row>
    <row r="7" spans="1:10" ht="14.25">
      <c r="A7" s="11" t="s">
        <v>25</v>
      </c>
      <c r="B7" s="12" t="s">
        <v>24</v>
      </c>
      <c r="C7" s="13">
        <v>0</v>
      </c>
      <c r="D7" s="14">
        <v>9.6999999999999993</v>
      </c>
      <c r="E7" s="15">
        <v>1.122E-3</v>
      </c>
      <c r="F7" s="12" t="s">
        <v>24</v>
      </c>
      <c r="G7" s="13">
        <v>0</v>
      </c>
      <c r="H7" s="14">
        <v>9.8000000000000007</v>
      </c>
      <c r="I7" s="15">
        <v>2.6407499999999999E-3</v>
      </c>
      <c r="J7" s="16">
        <f t="shared" si="0"/>
        <v>0</v>
      </c>
    </row>
    <row r="8" spans="1:10" ht="14.25">
      <c r="A8" s="11" t="s">
        <v>26</v>
      </c>
      <c r="B8" s="12" t="s">
        <v>24</v>
      </c>
      <c r="C8" s="13">
        <v>0</v>
      </c>
      <c r="D8" s="14">
        <v>11.1</v>
      </c>
      <c r="E8" s="15">
        <v>1.633125E-3</v>
      </c>
      <c r="F8" s="12" t="s">
        <v>24</v>
      </c>
      <c r="G8" s="13">
        <v>0</v>
      </c>
      <c r="H8" s="14">
        <v>11</v>
      </c>
      <c r="I8" s="15">
        <v>3.5838749999999998E-3</v>
      </c>
      <c r="J8" s="16">
        <f t="shared" si="0"/>
        <v>0</v>
      </c>
    </row>
    <row r="9" spans="1:10" ht="14.25">
      <c r="A9" s="11" t="s">
        <v>28</v>
      </c>
      <c r="B9" s="12" t="s">
        <v>24</v>
      </c>
      <c r="C9" s="13">
        <v>0</v>
      </c>
      <c r="D9" s="14">
        <v>10.6</v>
      </c>
      <c r="E9" s="15">
        <v>2.2271249999999999E-3</v>
      </c>
      <c r="F9" s="12" t="s">
        <v>24</v>
      </c>
      <c r="G9" s="13">
        <v>0</v>
      </c>
      <c r="H9" s="14">
        <v>10.7</v>
      </c>
      <c r="I9" s="15">
        <v>4.7786249999999999E-3</v>
      </c>
      <c r="J9" s="16">
        <f t="shared" si="0"/>
        <v>0</v>
      </c>
    </row>
    <row r="10" spans="1:10" ht="14.25">
      <c r="A10" s="11" t="s">
        <v>10</v>
      </c>
      <c r="B10" s="12" t="s">
        <v>11</v>
      </c>
      <c r="C10" s="13">
        <v>1</v>
      </c>
      <c r="D10" s="14">
        <v>22.6</v>
      </c>
      <c r="E10" s="15">
        <v>9.1376249999999999E-3</v>
      </c>
      <c r="F10" s="12" t="s">
        <v>11</v>
      </c>
      <c r="G10" s="13">
        <v>1</v>
      </c>
      <c r="H10" s="14">
        <v>22.1</v>
      </c>
      <c r="I10" s="15">
        <v>1.4971425E-2</v>
      </c>
      <c r="J10" s="16">
        <f t="shared" si="0"/>
        <v>0</v>
      </c>
    </row>
    <row r="11" spans="1:10" ht="14.25">
      <c r="A11" s="11" t="s">
        <v>12</v>
      </c>
      <c r="B11" s="12" t="s">
        <v>11</v>
      </c>
      <c r="C11" s="13">
        <v>0</v>
      </c>
      <c r="D11" s="14">
        <v>10.4</v>
      </c>
      <c r="E11" s="15">
        <v>2.1288750000000001E-3</v>
      </c>
      <c r="F11" s="12" t="s">
        <v>11</v>
      </c>
      <c r="G11" s="13">
        <v>0</v>
      </c>
      <c r="H11" s="14">
        <v>10.9</v>
      </c>
      <c r="I11" s="15">
        <v>4.9623749999999998E-3</v>
      </c>
      <c r="J11" s="16">
        <f t="shared" si="0"/>
        <v>0</v>
      </c>
    </row>
    <row r="12" spans="1:10" ht="14.25">
      <c r="A12" s="11" t="s">
        <v>14</v>
      </c>
      <c r="B12" s="12" t="s">
        <v>11</v>
      </c>
      <c r="C12" s="13">
        <v>0</v>
      </c>
      <c r="D12" s="14">
        <v>11.8</v>
      </c>
      <c r="E12" s="15">
        <v>3.047625E-3</v>
      </c>
      <c r="F12" s="12" t="s">
        <v>11</v>
      </c>
      <c r="G12" s="13">
        <v>0</v>
      </c>
      <c r="H12" s="14">
        <v>11.8</v>
      </c>
      <c r="I12" s="15">
        <v>6.053625E-3</v>
      </c>
      <c r="J12" s="16">
        <f t="shared" si="0"/>
        <v>0</v>
      </c>
    </row>
    <row r="13" spans="1:10" ht="14.25">
      <c r="A13" s="11" t="s">
        <v>15</v>
      </c>
      <c r="B13" s="12" t="s">
        <v>43</v>
      </c>
      <c r="C13" s="13">
        <v>0</v>
      </c>
      <c r="D13" s="14">
        <v>12.1</v>
      </c>
      <c r="E13" s="15">
        <v>3.4848750000000001E-3</v>
      </c>
      <c r="F13" s="12" t="s">
        <v>43</v>
      </c>
      <c r="G13" s="13">
        <v>0</v>
      </c>
      <c r="H13" s="14">
        <v>12.1</v>
      </c>
      <c r="I13" s="15">
        <v>7.822875E-3</v>
      </c>
      <c r="J13" s="16">
        <f t="shared" si="0"/>
        <v>0</v>
      </c>
    </row>
    <row r="14" spans="1:10" ht="14.25">
      <c r="A14" s="11" t="s">
        <v>18</v>
      </c>
      <c r="B14" s="12" t="s">
        <v>11</v>
      </c>
      <c r="C14" s="13">
        <v>0</v>
      </c>
      <c r="D14" s="14">
        <v>12.9</v>
      </c>
      <c r="E14" s="15">
        <v>3.2523750000000001E-3</v>
      </c>
      <c r="F14" s="12" t="s">
        <v>11</v>
      </c>
      <c r="G14" s="13">
        <v>0</v>
      </c>
      <c r="H14" s="14">
        <v>12.9</v>
      </c>
      <c r="I14" s="15">
        <v>7.1816249999999996E-3</v>
      </c>
      <c r="J14" s="16">
        <f t="shared" si="0"/>
        <v>0</v>
      </c>
    </row>
    <row r="15" spans="1:10" ht="14.25">
      <c r="A15" s="11" t="s">
        <v>30</v>
      </c>
      <c r="B15" s="12" t="s">
        <v>32</v>
      </c>
      <c r="C15" s="13">
        <v>0</v>
      </c>
      <c r="D15" s="14">
        <v>16</v>
      </c>
      <c r="E15" s="15">
        <v>4.0177499999999996E-3</v>
      </c>
      <c r="F15" s="12" t="s">
        <v>32</v>
      </c>
      <c r="G15" s="13">
        <v>0</v>
      </c>
      <c r="H15" s="14">
        <v>16</v>
      </c>
      <c r="I15" s="15">
        <v>8.6639999999999998E-3</v>
      </c>
      <c r="J15" s="16">
        <f t="shared" si="0"/>
        <v>0</v>
      </c>
    </row>
    <row r="16" spans="1:10" ht="14.25">
      <c r="A16" s="11" t="s">
        <v>33</v>
      </c>
      <c r="B16" s="12" t="s">
        <v>44</v>
      </c>
      <c r="C16" s="13">
        <v>0</v>
      </c>
      <c r="D16" s="14">
        <v>13.3</v>
      </c>
      <c r="E16" s="15">
        <v>6.0341250000000004E-3</v>
      </c>
      <c r="F16" s="12" t="s">
        <v>44</v>
      </c>
      <c r="G16" s="13">
        <v>0</v>
      </c>
      <c r="H16" s="14">
        <v>13.2</v>
      </c>
      <c r="I16" s="15">
        <v>1.4443124999999999E-2</v>
      </c>
      <c r="J16" s="16">
        <f t="shared" si="0"/>
        <v>0</v>
      </c>
    </row>
    <row r="17" spans="1:10" ht="14.25">
      <c r="A17" s="11" t="s">
        <v>35</v>
      </c>
      <c r="B17" s="12" t="s">
        <v>36</v>
      </c>
      <c r="C17" s="13">
        <v>0</v>
      </c>
      <c r="D17" s="14">
        <v>13.7</v>
      </c>
      <c r="E17" s="15">
        <v>8.2196249999999995E-3</v>
      </c>
      <c r="F17" s="12" t="s">
        <v>31</v>
      </c>
      <c r="G17" s="13">
        <v>1</v>
      </c>
      <c r="H17" s="14">
        <v>14.2</v>
      </c>
      <c r="I17" s="15">
        <v>3.9977775E-2</v>
      </c>
      <c r="J17" s="16">
        <f t="shared" si="0"/>
        <v>2</v>
      </c>
    </row>
    <row r="18" spans="1:10" ht="14.25">
      <c r="A18" s="11" t="s">
        <v>37</v>
      </c>
      <c r="B18" s="12" t="s">
        <v>34</v>
      </c>
      <c r="C18" s="13">
        <v>0</v>
      </c>
      <c r="D18" s="14">
        <v>13.1</v>
      </c>
      <c r="E18" s="15">
        <v>6.4616250000000004E-3</v>
      </c>
      <c r="F18" s="12" t="s">
        <v>34</v>
      </c>
      <c r="G18" s="13">
        <v>0</v>
      </c>
      <c r="H18" s="14">
        <v>13.2</v>
      </c>
      <c r="I18" s="15">
        <v>1.2229874999999999E-2</v>
      </c>
      <c r="J18" s="16">
        <f t="shared" si="0"/>
        <v>0</v>
      </c>
    </row>
    <row r="19" spans="1:10" ht="14.25">
      <c r="A19" s="17" t="s">
        <v>38</v>
      </c>
      <c r="B19" s="18" t="s">
        <v>45</v>
      </c>
      <c r="C19" s="19">
        <v>0</v>
      </c>
      <c r="D19" s="20">
        <v>13.7</v>
      </c>
      <c r="E19" s="21">
        <v>8.7888749999999998E-3</v>
      </c>
      <c r="F19" s="18" t="s">
        <v>45</v>
      </c>
      <c r="G19" s="19">
        <v>0</v>
      </c>
      <c r="H19" s="20">
        <v>13.9</v>
      </c>
      <c r="I19" s="21">
        <v>2.1240374999999999E-2</v>
      </c>
      <c r="J19" s="22">
        <f t="shared" si="0"/>
        <v>0</v>
      </c>
    </row>
    <row r="20" spans="1:10" ht="14.25">
      <c r="A20" s="23" t="s">
        <v>19</v>
      </c>
      <c r="B20" s="23" t="s">
        <v>41</v>
      </c>
      <c r="C20" s="24">
        <f>SUM(C5:C19)</f>
        <v>1</v>
      </c>
      <c r="D20" s="25">
        <f>SUM(D5:D19)</f>
        <v>191.79999999999998</v>
      </c>
      <c r="E20" s="26">
        <f>SUM(E5:E19)</f>
        <v>6.3906375000000001E-2</v>
      </c>
      <c r="F20" s="23" t="s">
        <v>46</v>
      </c>
      <c r="G20" s="24">
        <f>SUM(G5:G19)</f>
        <v>2</v>
      </c>
      <c r="H20" s="25">
        <f>SUM(H5:H19)</f>
        <v>193.1</v>
      </c>
      <c r="I20" s="26">
        <f>SUM(I5:I19)</f>
        <v>0.157653075</v>
      </c>
      <c r="J20" s="27">
        <f>SUM(J5:J19)</f>
        <v>2</v>
      </c>
    </row>
  </sheetData>
  <mergeCells count="2">
    <mergeCell ref="A1:J1"/>
    <mergeCell ref="A2:J2"/>
  </mergeCells>
  <conditionalFormatting sqref="J5:J19">
    <cfRule type="cellIs" dxfId="58" priority="1" operator="greaterThan">
      <formula>0</formula>
    </cfRule>
    <cfRule type="cellIs" dxfId="57" priority="2" operator="lessThan">
      <formula>0</formula>
    </cfRule>
    <cfRule type="cellIs" dxfId="56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showGridLines="0" workbookViewId="0">
      <selection activeCell="A2" sqref="A2:J2"/>
    </sheetView>
  </sheetViews>
  <sheetFormatPr defaultRowHeight="13.5"/>
  <cols>
    <col min="1" max="1" width="20" customWidth="1"/>
    <col min="2" max="2" width="22.5" customWidth="1"/>
    <col min="3" max="3" width="11.1875" customWidth="1"/>
    <col min="4" max="4" width="18.6875" customWidth="1"/>
    <col min="5" max="5" width="17.5" customWidth="1"/>
    <col min="6" max="6" width="31.1875" customWidth="1"/>
    <col min="7" max="7" width="11.1875" customWidth="1"/>
    <col min="8" max="8" width="18.6875" customWidth="1"/>
    <col min="9" max="9" width="17.5" customWidth="1"/>
    <col min="10" max="10" width="11.1875" customWidth="1"/>
  </cols>
  <sheetData>
    <row r="1" spans="1:10" ht="25.5" customHeight="1">
      <c r="A1" s="87" t="s">
        <v>47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40.5" customHeight="1">
      <c r="A2" s="88"/>
      <c r="B2" s="88"/>
      <c r="C2" s="88"/>
      <c r="D2" s="88"/>
      <c r="E2" s="88"/>
      <c r="F2" s="88"/>
      <c r="G2" s="88"/>
      <c r="H2" s="88"/>
      <c r="I2" s="88"/>
      <c r="J2" s="88"/>
    </row>
    <row r="3" spans="1:10" ht="10.5" customHeight="1"/>
    <row r="4" spans="1:10" ht="31.5" customHeight="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 ht="17.25" customHeight="1">
      <c r="A5" t="s">
        <v>21</v>
      </c>
      <c r="B5" t="s">
        <v>24</v>
      </c>
      <c r="C5" s="31">
        <v>0</v>
      </c>
      <c r="D5" s="32">
        <v>11.1</v>
      </c>
      <c r="E5" s="33">
        <v>2.8005E-3</v>
      </c>
      <c r="F5" t="s">
        <v>24</v>
      </c>
      <c r="G5" s="31">
        <v>0</v>
      </c>
      <c r="H5" s="32">
        <v>12.9</v>
      </c>
      <c r="I5" s="33">
        <v>9.0889999999999999E-3</v>
      </c>
      <c r="J5" s="34">
        <f t="shared" ref="J5:J19" si="0">IFERROR(VALUE(LEFT(F5,FIND("/",F5)-1))-VALUE(LEFT(B5,FIND("/",B5)-1)),"N/A")</f>
        <v>0</v>
      </c>
    </row>
    <row r="6" spans="1:10" ht="17.25" customHeight="1">
      <c r="A6" t="s">
        <v>23</v>
      </c>
      <c r="B6" t="s">
        <v>24</v>
      </c>
      <c r="C6" s="31">
        <v>0</v>
      </c>
      <c r="D6" s="32">
        <v>9.6999999999999993</v>
      </c>
      <c r="E6" s="33">
        <v>1.55025E-3</v>
      </c>
      <c r="F6" t="s">
        <v>24</v>
      </c>
      <c r="G6" s="31">
        <v>0</v>
      </c>
      <c r="H6" s="32">
        <v>9.8000000000000007</v>
      </c>
      <c r="I6" s="33">
        <v>5.1082499999999999E-3</v>
      </c>
      <c r="J6" s="34">
        <f t="shared" si="0"/>
        <v>0</v>
      </c>
    </row>
    <row r="7" spans="1:10" ht="17.25" customHeight="1">
      <c r="A7" t="s">
        <v>25</v>
      </c>
      <c r="B7" t="s">
        <v>24</v>
      </c>
      <c r="C7" s="31">
        <v>0</v>
      </c>
      <c r="D7" s="32">
        <v>9.6999999999999993</v>
      </c>
      <c r="E7" s="33">
        <v>1.122E-3</v>
      </c>
      <c r="F7" t="s">
        <v>24</v>
      </c>
      <c r="G7" s="31">
        <v>0</v>
      </c>
      <c r="H7" s="32">
        <v>9.8000000000000007</v>
      </c>
      <c r="I7" s="33">
        <v>2.7200000000000002E-3</v>
      </c>
      <c r="J7" s="34">
        <f t="shared" si="0"/>
        <v>0</v>
      </c>
    </row>
    <row r="8" spans="1:10" ht="17.25" customHeight="1">
      <c r="A8" t="s">
        <v>26</v>
      </c>
      <c r="B8" t="s">
        <v>24</v>
      </c>
      <c r="C8" s="31">
        <v>0</v>
      </c>
      <c r="D8" s="32">
        <v>11.1</v>
      </c>
      <c r="E8" s="33">
        <v>1.633125E-3</v>
      </c>
      <c r="F8" t="s">
        <v>24</v>
      </c>
      <c r="G8" s="31">
        <v>0</v>
      </c>
      <c r="H8" s="32">
        <v>10.8</v>
      </c>
      <c r="I8" s="33">
        <v>4.7036249999999995E-3</v>
      </c>
      <c r="J8" s="34">
        <f t="shared" si="0"/>
        <v>0</v>
      </c>
    </row>
    <row r="9" spans="1:10" ht="17.25" customHeight="1">
      <c r="A9" t="s">
        <v>28</v>
      </c>
      <c r="B9" t="s">
        <v>24</v>
      </c>
      <c r="C9" s="31">
        <v>0</v>
      </c>
      <c r="D9" s="32">
        <v>10.6</v>
      </c>
      <c r="E9" s="33">
        <v>2.2271249999999999E-3</v>
      </c>
      <c r="F9" t="s">
        <v>24</v>
      </c>
      <c r="G9" s="31">
        <v>0</v>
      </c>
      <c r="H9" s="32">
        <v>10.6</v>
      </c>
      <c r="I9" s="33">
        <v>7.1951250000000001E-3</v>
      </c>
      <c r="J9" s="34">
        <f t="shared" si="0"/>
        <v>0</v>
      </c>
    </row>
    <row r="10" spans="1:10" ht="17.25" customHeight="1">
      <c r="A10" t="s">
        <v>10</v>
      </c>
      <c r="B10" t="s">
        <v>11</v>
      </c>
      <c r="C10" s="31">
        <v>1</v>
      </c>
      <c r="D10" s="32">
        <v>22.6</v>
      </c>
      <c r="E10" s="33">
        <v>9.1376249999999999E-3</v>
      </c>
      <c r="F10" t="s">
        <v>11</v>
      </c>
      <c r="G10" s="31">
        <v>1</v>
      </c>
      <c r="H10" s="32">
        <v>15.9</v>
      </c>
      <c r="I10" s="33">
        <v>2.1149875000000002E-2</v>
      </c>
      <c r="J10" s="34">
        <f t="shared" si="0"/>
        <v>0</v>
      </c>
    </row>
    <row r="11" spans="1:10" ht="17.25" customHeight="1">
      <c r="A11" t="s">
        <v>12</v>
      </c>
      <c r="B11" t="s">
        <v>11</v>
      </c>
      <c r="C11" s="31">
        <v>0</v>
      </c>
      <c r="D11" s="32">
        <v>10.4</v>
      </c>
      <c r="E11" s="33">
        <v>2.1288750000000001E-3</v>
      </c>
      <c r="F11" t="s">
        <v>11</v>
      </c>
      <c r="G11" s="31">
        <v>0</v>
      </c>
      <c r="H11" s="32">
        <v>10.7</v>
      </c>
      <c r="I11" s="33">
        <v>6.9093750000000006E-3</v>
      </c>
      <c r="J11" s="34">
        <f t="shared" si="0"/>
        <v>0</v>
      </c>
    </row>
    <row r="12" spans="1:10" ht="17.25" customHeight="1">
      <c r="A12" t="s">
        <v>14</v>
      </c>
      <c r="B12" t="s">
        <v>11</v>
      </c>
      <c r="C12" s="31">
        <v>0</v>
      </c>
      <c r="D12" s="32">
        <v>11.8</v>
      </c>
      <c r="E12" s="33">
        <v>3.047625E-3</v>
      </c>
      <c r="F12" t="s">
        <v>11</v>
      </c>
      <c r="G12" s="31">
        <v>0</v>
      </c>
      <c r="H12" s="32">
        <v>11.8</v>
      </c>
      <c r="I12" s="33">
        <v>9.6481250000000005E-3</v>
      </c>
      <c r="J12" s="34">
        <f t="shared" si="0"/>
        <v>0</v>
      </c>
    </row>
    <row r="13" spans="1:10" ht="17.25" customHeight="1">
      <c r="A13" t="s">
        <v>15</v>
      </c>
      <c r="B13" t="s">
        <v>43</v>
      </c>
      <c r="C13" s="31">
        <v>0</v>
      </c>
      <c r="D13" s="32">
        <v>12.1</v>
      </c>
      <c r="E13" s="33">
        <v>3.4848750000000001E-3</v>
      </c>
      <c r="F13" t="s">
        <v>29</v>
      </c>
      <c r="G13" s="31">
        <v>1</v>
      </c>
      <c r="H13" s="32">
        <v>12.4</v>
      </c>
      <c r="I13" s="33">
        <v>2.3496875E-2</v>
      </c>
      <c r="J13" s="34">
        <f t="shared" si="0"/>
        <v>2</v>
      </c>
    </row>
    <row r="14" spans="1:10" ht="17.25" customHeight="1">
      <c r="A14" t="s">
        <v>18</v>
      </c>
      <c r="B14" t="s">
        <v>11</v>
      </c>
      <c r="C14" s="31">
        <v>0</v>
      </c>
      <c r="D14" s="32">
        <v>12.9</v>
      </c>
      <c r="E14" s="33">
        <v>3.2523750000000001E-3</v>
      </c>
      <c r="F14" t="s">
        <v>11</v>
      </c>
      <c r="G14" s="31">
        <v>0</v>
      </c>
      <c r="H14" s="32">
        <v>13</v>
      </c>
      <c r="I14" s="33">
        <v>1.0437874999999999E-2</v>
      </c>
      <c r="J14" s="34">
        <f t="shared" si="0"/>
        <v>0</v>
      </c>
    </row>
    <row r="15" spans="1:10" ht="17.25" customHeight="1">
      <c r="A15" t="s">
        <v>30</v>
      </c>
      <c r="B15" t="s">
        <v>32</v>
      </c>
      <c r="C15" s="31">
        <v>0</v>
      </c>
      <c r="D15" s="32">
        <v>16</v>
      </c>
      <c r="E15" s="33">
        <v>4.0177499999999996E-3</v>
      </c>
      <c r="F15" t="s">
        <v>48</v>
      </c>
      <c r="G15" s="31">
        <v>1</v>
      </c>
      <c r="H15" s="32">
        <v>17.399999999999999</v>
      </c>
      <c r="I15" s="33">
        <v>3.673825E-2</v>
      </c>
      <c r="J15" s="34">
        <f t="shared" si="0"/>
        <v>1</v>
      </c>
    </row>
    <row r="16" spans="1:10" ht="17.25" customHeight="1">
      <c r="A16" t="s">
        <v>33</v>
      </c>
      <c r="B16" t="s">
        <v>44</v>
      </c>
      <c r="C16" s="31">
        <v>0</v>
      </c>
      <c r="D16" s="32">
        <v>13.3</v>
      </c>
      <c r="E16" s="33">
        <v>6.0341250000000004E-3</v>
      </c>
      <c r="F16" t="s">
        <v>48</v>
      </c>
      <c r="G16" s="31">
        <v>0</v>
      </c>
      <c r="H16" s="32">
        <v>14.4</v>
      </c>
      <c r="I16" s="33">
        <v>2.2202125E-2</v>
      </c>
      <c r="J16" s="34">
        <f t="shared" si="0"/>
        <v>2</v>
      </c>
    </row>
    <row r="17" spans="1:10" ht="17.25" customHeight="1">
      <c r="A17" t="s">
        <v>35</v>
      </c>
      <c r="B17" t="s">
        <v>36</v>
      </c>
      <c r="C17" s="31">
        <v>0</v>
      </c>
      <c r="D17" s="32">
        <v>13.7</v>
      </c>
      <c r="E17" s="33">
        <v>8.2196249999999995E-3</v>
      </c>
      <c r="F17" t="s">
        <v>34</v>
      </c>
      <c r="G17" s="31">
        <v>1</v>
      </c>
      <c r="H17" s="32">
        <v>16.2</v>
      </c>
      <c r="I17" s="33">
        <v>7.4527125E-2</v>
      </c>
      <c r="J17" s="34">
        <f t="shared" si="0"/>
        <v>3</v>
      </c>
    </row>
    <row r="18" spans="1:10" ht="17.25" customHeight="1">
      <c r="A18" t="s">
        <v>37</v>
      </c>
      <c r="B18" t="s">
        <v>34</v>
      </c>
      <c r="C18" s="31">
        <v>0</v>
      </c>
      <c r="D18" s="32">
        <v>13.1</v>
      </c>
      <c r="E18" s="33">
        <v>6.4616250000000004E-3</v>
      </c>
      <c r="F18" t="s">
        <v>32</v>
      </c>
      <c r="G18" s="31">
        <v>1</v>
      </c>
      <c r="H18" s="32">
        <v>13.9</v>
      </c>
      <c r="I18" s="33">
        <v>4.2403625E-2</v>
      </c>
      <c r="J18" s="34">
        <f t="shared" si="0"/>
        <v>2</v>
      </c>
    </row>
    <row r="19" spans="1:10" ht="17.25" customHeight="1">
      <c r="A19" t="s">
        <v>38</v>
      </c>
      <c r="B19" t="s">
        <v>45</v>
      </c>
      <c r="C19" s="31">
        <v>0</v>
      </c>
      <c r="D19" s="32">
        <v>13.7</v>
      </c>
      <c r="E19" s="33">
        <v>8.7888749999999998E-3</v>
      </c>
      <c r="F19" t="s">
        <v>44</v>
      </c>
      <c r="G19" s="31">
        <v>1</v>
      </c>
      <c r="H19" s="32">
        <v>17.100000000000001</v>
      </c>
      <c r="I19" s="33">
        <v>7.4557374999999995E-2</v>
      </c>
      <c r="J19" s="34">
        <f t="shared" si="0"/>
        <v>3</v>
      </c>
    </row>
    <row r="20" spans="1:10" ht="28.5" customHeight="1">
      <c r="A20" t="s">
        <v>19</v>
      </c>
      <c r="B20" t="s">
        <v>41</v>
      </c>
      <c r="C20" s="31">
        <f>SUM(C5:C19)</f>
        <v>1</v>
      </c>
      <c r="D20" s="32">
        <f>SUM(D5:D19)</f>
        <v>191.79999999999998</v>
      </c>
      <c r="E20" s="33">
        <f>SUM(E5:E19)</f>
        <v>6.3906375000000001E-2</v>
      </c>
      <c r="F20" s="35" t="s">
        <v>49</v>
      </c>
      <c r="G20" s="31">
        <f>SUM(G5:G19)</f>
        <v>6</v>
      </c>
      <c r="H20" s="32">
        <f>SUM(H5:H19)</f>
        <v>196.7</v>
      </c>
      <c r="I20" s="33">
        <f>SUM(I5:I19)</f>
        <v>0.35088662499999995</v>
      </c>
      <c r="J20" s="34">
        <f>SUM(J5:J19)</f>
        <v>13</v>
      </c>
    </row>
  </sheetData>
  <mergeCells count="2">
    <mergeCell ref="A1:J1"/>
    <mergeCell ref="A2:J2"/>
  </mergeCells>
  <conditionalFormatting sqref="J5:J19">
    <cfRule type="cellIs" dxfId="55" priority="4" operator="greaterThan">
      <formula>0</formula>
    </cfRule>
    <cfRule type="cellIs" dxfId="54" priority="5" operator="lessThan">
      <formula>0</formula>
    </cfRule>
    <cfRule type="cellIs" dxfId="53" priority="6" operator="equal">
      <formula>0</formula>
    </cfRule>
  </conditionalFormatting>
  <conditionalFormatting sqref="J5:J24">
    <cfRule type="cellIs" dxfId="52" priority="1" operator="greaterThan">
      <formula>0</formula>
    </cfRule>
    <cfRule type="cellIs" dxfId="51" priority="2" operator="lessThan">
      <formula>0</formula>
    </cfRule>
    <cfRule type="cellIs" dxfId="50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showGridLines="0" workbookViewId="0">
      <selection activeCell="A2" sqref="A2:J2"/>
    </sheetView>
  </sheetViews>
  <sheetFormatPr defaultRowHeight="13.5"/>
  <cols>
    <col min="1" max="1" width="18" customWidth="1"/>
    <col min="2" max="2" width="25" customWidth="1"/>
    <col min="3" max="3" width="12" customWidth="1"/>
    <col min="4" max="4" width="16" customWidth="1"/>
    <col min="5" max="5" width="19" customWidth="1"/>
    <col min="6" max="6" width="25" customWidth="1"/>
    <col min="7" max="7" width="12" customWidth="1"/>
    <col min="8" max="8" width="16" customWidth="1"/>
    <col min="9" max="9" width="19" customWidth="1"/>
    <col min="10" max="10" width="11" customWidth="1"/>
  </cols>
  <sheetData>
    <row r="1" spans="1:10" ht="28.05" customHeight="1">
      <c r="A1" s="89" t="s">
        <v>50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ht="32" customHeight="1">
      <c r="A2" s="90"/>
      <c r="B2" s="90"/>
      <c r="C2" s="90"/>
      <c r="D2" s="90"/>
      <c r="E2" s="90"/>
      <c r="F2" s="90"/>
      <c r="G2" s="90"/>
      <c r="H2" s="90"/>
      <c r="I2" s="90"/>
      <c r="J2" s="90"/>
    </row>
    <row r="3" spans="1:10" ht="14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0" customHeight="1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4" t="s">
        <v>9</v>
      </c>
    </row>
    <row r="5" spans="1:10" ht="14.25">
      <c r="A5" s="5" t="s">
        <v>21</v>
      </c>
      <c r="B5" s="6" t="s">
        <v>24</v>
      </c>
      <c r="C5" s="7">
        <v>0</v>
      </c>
      <c r="D5" s="8">
        <v>13.4</v>
      </c>
      <c r="E5" s="9">
        <v>2.3172999999999999E-2</v>
      </c>
      <c r="F5" s="6" t="s">
        <v>24</v>
      </c>
      <c r="G5" s="7">
        <v>0</v>
      </c>
      <c r="H5" s="8">
        <v>12.7</v>
      </c>
      <c r="I5" s="9">
        <v>3.0587E-2</v>
      </c>
      <c r="J5" s="10">
        <f t="shared" ref="J5:J19" si="0">IFERROR(VALUE(LEFT(F5,FIND("/",F5)-1))-VALUE(LEFT(B5,FIND("/",B5)-1)),"N/A")</f>
        <v>0</v>
      </c>
    </row>
    <row r="6" spans="1:10" ht="14.25">
      <c r="A6" s="11" t="s">
        <v>23</v>
      </c>
      <c r="B6" s="12" t="s">
        <v>24</v>
      </c>
      <c r="C6" s="13">
        <v>0</v>
      </c>
      <c r="D6" s="14">
        <v>10.4</v>
      </c>
      <c r="E6" s="15">
        <v>1.7086E-2</v>
      </c>
      <c r="F6" s="12" t="s">
        <v>24</v>
      </c>
      <c r="G6" s="13">
        <v>0</v>
      </c>
      <c r="H6" s="14">
        <v>10.5</v>
      </c>
      <c r="I6" s="15">
        <v>2.3973999999999999E-2</v>
      </c>
      <c r="J6" s="16">
        <f t="shared" si="0"/>
        <v>0</v>
      </c>
    </row>
    <row r="7" spans="1:10" ht="14.25">
      <c r="A7" s="11" t="s">
        <v>25</v>
      </c>
      <c r="B7" s="12" t="s">
        <v>24</v>
      </c>
      <c r="C7" s="13">
        <v>0</v>
      </c>
      <c r="D7" s="14">
        <v>9.9</v>
      </c>
      <c r="E7" s="15">
        <v>6.1704999999999998E-3</v>
      </c>
      <c r="F7" s="12" t="s">
        <v>24</v>
      </c>
      <c r="G7" s="13">
        <v>0</v>
      </c>
      <c r="H7" s="14">
        <v>9.6999999999999993</v>
      </c>
      <c r="I7" s="15">
        <v>1.23965E-2</v>
      </c>
      <c r="J7" s="16">
        <f t="shared" si="0"/>
        <v>0</v>
      </c>
    </row>
    <row r="8" spans="1:10" ht="14.25">
      <c r="A8" s="11" t="s">
        <v>26</v>
      </c>
      <c r="B8" s="12" t="s">
        <v>24</v>
      </c>
      <c r="C8" s="13">
        <v>0</v>
      </c>
      <c r="D8" s="14">
        <v>11.4</v>
      </c>
      <c r="E8" s="15">
        <v>2.6302499999999999E-2</v>
      </c>
      <c r="F8" s="12" t="s">
        <v>24</v>
      </c>
      <c r="G8" s="13">
        <v>0</v>
      </c>
      <c r="H8" s="14">
        <v>11.5</v>
      </c>
      <c r="I8" s="15">
        <v>3.3114499999999998E-2</v>
      </c>
      <c r="J8" s="16">
        <f t="shared" si="0"/>
        <v>0</v>
      </c>
    </row>
    <row r="9" spans="1:10" ht="14.25">
      <c r="A9" s="11" t="s">
        <v>28</v>
      </c>
      <c r="B9" s="12" t="s">
        <v>24</v>
      </c>
      <c r="C9" s="13">
        <v>0</v>
      </c>
      <c r="D9" s="14">
        <v>11</v>
      </c>
      <c r="E9" s="15">
        <v>2.25425E-2</v>
      </c>
      <c r="F9" s="12" t="s">
        <v>24</v>
      </c>
      <c r="G9" s="13">
        <v>1</v>
      </c>
      <c r="H9" s="14">
        <v>12.7</v>
      </c>
      <c r="I9" s="15">
        <v>0.1011225</v>
      </c>
      <c r="J9" s="16">
        <f t="shared" si="0"/>
        <v>0</v>
      </c>
    </row>
    <row r="10" spans="1:10" ht="14.25">
      <c r="A10" s="11" t="s">
        <v>10</v>
      </c>
      <c r="B10" s="12" t="s">
        <v>11</v>
      </c>
      <c r="C10" s="13">
        <v>0</v>
      </c>
      <c r="D10" s="14">
        <v>16.600000000000001</v>
      </c>
      <c r="E10" s="15">
        <v>4.6221499999999999E-2</v>
      </c>
      <c r="F10" s="12" t="s">
        <v>11</v>
      </c>
      <c r="G10" s="13">
        <v>0</v>
      </c>
      <c r="H10" s="14">
        <v>16.7</v>
      </c>
      <c r="I10" s="15">
        <v>5.9261500000000002E-2</v>
      </c>
      <c r="J10" s="16">
        <f t="shared" si="0"/>
        <v>0</v>
      </c>
    </row>
    <row r="11" spans="1:10" ht="14.25">
      <c r="A11" s="11" t="s">
        <v>12</v>
      </c>
      <c r="B11" s="12" t="s">
        <v>11</v>
      </c>
      <c r="C11" s="13">
        <v>3</v>
      </c>
      <c r="D11" s="14">
        <v>31.9</v>
      </c>
      <c r="E11" s="15">
        <v>8.5607000000000003E-2</v>
      </c>
      <c r="F11" s="12" t="s">
        <v>11</v>
      </c>
      <c r="G11" s="13">
        <v>1</v>
      </c>
      <c r="H11" s="14">
        <v>11.7</v>
      </c>
      <c r="I11" s="15">
        <v>7.1720999999999993E-2</v>
      </c>
      <c r="J11" s="16">
        <f t="shared" si="0"/>
        <v>0</v>
      </c>
    </row>
    <row r="12" spans="1:10" ht="14.25">
      <c r="A12" s="11" t="s">
        <v>14</v>
      </c>
      <c r="B12" s="12" t="s">
        <v>11</v>
      </c>
      <c r="C12" s="13">
        <v>0</v>
      </c>
      <c r="D12" s="14">
        <v>13</v>
      </c>
      <c r="E12" s="15">
        <v>3.8637499999999998E-2</v>
      </c>
      <c r="F12" s="12" t="s">
        <v>11</v>
      </c>
      <c r="G12" s="13">
        <v>0</v>
      </c>
      <c r="H12" s="14">
        <v>13.2</v>
      </c>
      <c r="I12" s="15">
        <v>5.5475499999999997E-2</v>
      </c>
      <c r="J12" s="16">
        <f t="shared" si="0"/>
        <v>0</v>
      </c>
    </row>
    <row r="13" spans="1:10" ht="14.25">
      <c r="A13" s="11" t="s">
        <v>15</v>
      </c>
      <c r="B13" s="12" t="s">
        <v>29</v>
      </c>
      <c r="C13" s="13">
        <v>0</v>
      </c>
      <c r="D13" s="14">
        <v>13.3</v>
      </c>
      <c r="E13" s="15">
        <v>4.1766499999999998E-2</v>
      </c>
      <c r="F13" s="12" t="s">
        <v>29</v>
      </c>
      <c r="G13" s="13">
        <v>0</v>
      </c>
      <c r="H13" s="14">
        <v>13.5</v>
      </c>
      <c r="I13" s="15">
        <v>5.7426499999999998E-2</v>
      </c>
      <c r="J13" s="16">
        <f t="shared" si="0"/>
        <v>0</v>
      </c>
    </row>
    <row r="14" spans="1:10" ht="14.25">
      <c r="A14" s="11" t="s">
        <v>18</v>
      </c>
      <c r="B14" s="12" t="s">
        <v>11</v>
      </c>
      <c r="C14" s="13">
        <v>0</v>
      </c>
      <c r="D14" s="14">
        <v>14.4</v>
      </c>
      <c r="E14" s="15">
        <v>4.4075499999999997E-2</v>
      </c>
      <c r="F14" s="12" t="s">
        <v>11</v>
      </c>
      <c r="G14" s="13">
        <v>0</v>
      </c>
      <c r="H14" s="14">
        <v>14.8</v>
      </c>
      <c r="I14" s="15">
        <v>7.4761499999999995E-2</v>
      </c>
      <c r="J14" s="16">
        <f t="shared" si="0"/>
        <v>0</v>
      </c>
    </row>
    <row r="15" spans="1:10" ht="14.25">
      <c r="A15" s="11" t="s">
        <v>30</v>
      </c>
      <c r="B15" s="12" t="s">
        <v>48</v>
      </c>
      <c r="C15" s="13">
        <v>0</v>
      </c>
      <c r="D15" s="14">
        <v>17.600000000000001</v>
      </c>
      <c r="E15" s="15">
        <v>3.21385E-2</v>
      </c>
      <c r="F15" s="12" t="s">
        <v>48</v>
      </c>
      <c r="G15" s="13">
        <v>0</v>
      </c>
      <c r="H15" s="14">
        <v>17.399999999999999</v>
      </c>
      <c r="I15" s="15">
        <v>6.2448499999999997E-2</v>
      </c>
      <c r="J15" s="16">
        <f t="shared" si="0"/>
        <v>0</v>
      </c>
    </row>
    <row r="16" spans="1:10" ht="14.25">
      <c r="A16" s="11" t="s">
        <v>33</v>
      </c>
      <c r="B16" s="12" t="s">
        <v>31</v>
      </c>
      <c r="C16" s="13">
        <v>0</v>
      </c>
      <c r="D16" s="14">
        <v>14.2</v>
      </c>
      <c r="E16" s="15">
        <v>3.3988499999999998E-2</v>
      </c>
      <c r="F16" s="12" t="s">
        <v>31</v>
      </c>
      <c r="G16" s="13">
        <v>0</v>
      </c>
      <c r="H16" s="14">
        <v>14.6</v>
      </c>
      <c r="I16" s="15">
        <v>7.3048500000000002E-2</v>
      </c>
      <c r="J16" s="16">
        <f t="shared" si="0"/>
        <v>0</v>
      </c>
    </row>
    <row r="17" spans="1:10" ht="14.25">
      <c r="A17" s="11" t="s">
        <v>35</v>
      </c>
      <c r="B17" s="12" t="s">
        <v>31</v>
      </c>
      <c r="C17" s="13">
        <v>0</v>
      </c>
      <c r="D17" s="14">
        <v>17.8</v>
      </c>
      <c r="E17" s="15">
        <v>6.5489500000000006E-2</v>
      </c>
      <c r="F17" s="12" t="s">
        <v>31</v>
      </c>
      <c r="G17" s="13">
        <v>0</v>
      </c>
      <c r="H17" s="14">
        <v>19.5</v>
      </c>
      <c r="I17" s="15">
        <v>0.15669949999999999</v>
      </c>
      <c r="J17" s="16">
        <f t="shared" si="0"/>
        <v>0</v>
      </c>
    </row>
    <row r="18" spans="1:10" ht="14.25">
      <c r="A18" s="11" t="s">
        <v>37</v>
      </c>
      <c r="B18" s="12" t="s">
        <v>32</v>
      </c>
      <c r="C18" s="13">
        <v>1</v>
      </c>
      <c r="D18" s="14">
        <v>23</v>
      </c>
      <c r="E18" s="15">
        <v>0.112834</v>
      </c>
      <c r="F18" s="12" t="s">
        <v>32</v>
      </c>
      <c r="G18" s="13">
        <v>2</v>
      </c>
      <c r="H18" s="14">
        <v>33.5</v>
      </c>
      <c r="I18" s="15">
        <v>0.285327</v>
      </c>
      <c r="J18" s="16">
        <f t="shared" si="0"/>
        <v>0</v>
      </c>
    </row>
    <row r="19" spans="1:10" ht="14.25">
      <c r="A19" s="17" t="s">
        <v>38</v>
      </c>
      <c r="B19" s="18" t="s">
        <v>45</v>
      </c>
      <c r="C19" s="19">
        <v>2</v>
      </c>
      <c r="D19" s="20">
        <v>33.700000000000003</v>
      </c>
      <c r="E19" s="21">
        <v>0.20876900000000001</v>
      </c>
      <c r="F19" s="18" t="s">
        <v>34</v>
      </c>
      <c r="G19" s="19">
        <v>1</v>
      </c>
      <c r="H19" s="20">
        <v>20.9</v>
      </c>
      <c r="I19" s="21">
        <v>0.25460100000000002</v>
      </c>
      <c r="J19" s="22">
        <f t="shared" si="0"/>
        <v>2</v>
      </c>
    </row>
    <row r="20" spans="1:10" ht="14.25">
      <c r="A20" s="23" t="s">
        <v>19</v>
      </c>
      <c r="B20" s="23" t="s">
        <v>51</v>
      </c>
      <c r="C20" s="24">
        <f>SUM(C5:C19)</f>
        <v>6</v>
      </c>
      <c r="D20" s="25">
        <f>SUM(D5:D19)</f>
        <v>251.60000000000002</v>
      </c>
      <c r="E20" s="26">
        <f>SUM(E5:E19)</f>
        <v>0.80480199999999991</v>
      </c>
      <c r="F20" s="23" t="s">
        <v>52</v>
      </c>
      <c r="G20" s="24">
        <f>SUM(G5:G19)</f>
        <v>5</v>
      </c>
      <c r="H20" s="25">
        <f>SUM(H5:H19)</f>
        <v>232.9</v>
      </c>
      <c r="I20" s="26">
        <f>SUM(I5:I19)</f>
        <v>1.3519650000000001</v>
      </c>
      <c r="J20" s="27">
        <f>SUM(J5:J19)</f>
        <v>2</v>
      </c>
    </row>
  </sheetData>
  <mergeCells count="2">
    <mergeCell ref="A1:J1"/>
    <mergeCell ref="A2:J2"/>
  </mergeCells>
  <conditionalFormatting sqref="J5:J19">
    <cfRule type="cellIs" dxfId="49" priority="1" operator="greaterThan">
      <formula>0</formula>
    </cfRule>
    <cfRule type="cellIs" dxfId="48" priority="2" operator="lessThan">
      <formula>0</formula>
    </cfRule>
    <cfRule type="cellIs" dxfId="47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showGridLines="0" workbookViewId="0">
      <selection activeCell="A2" sqref="A2:J2"/>
    </sheetView>
  </sheetViews>
  <sheetFormatPr defaultRowHeight="13.5"/>
  <cols>
    <col min="1" max="1" width="18" customWidth="1"/>
    <col min="2" max="2" width="25" customWidth="1"/>
    <col min="3" max="3" width="12" customWidth="1"/>
    <col min="4" max="4" width="16" customWidth="1"/>
    <col min="5" max="5" width="19" customWidth="1"/>
    <col min="6" max="6" width="25" customWidth="1"/>
    <col min="7" max="7" width="12" customWidth="1"/>
    <col min="8" max="8" width="16" customWidth="1"/>
    <col min="9" max="9" width="19" customWidth="1"/>
    <col min="10" max="10" width="11" customWidth="1"/>
  </cols>
  <sheetData>
    <row r="1" spans="1:10" ht="28.05" customHeight="1">
      <c r="A1" s="89" t="s">
        <v>53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ht="32" customHeight="1">
      <c r="A2" s="90"/>
      <c r="B2" s="90"/>
      <c r="C2" s="90"/>
      <c r="D2" s="90"/>
      <c r="E2" s="90"/>
      <c r="F2" s="90"/>
      <c r="G2" s="90"/>
      <c r="H2" s="90"/>
      <c r="I2" s="90"/>
      <c r="J2" s="90"/>
    </row>
    <row r="3" spans="1:10" ht="14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0" customHeight="1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4" t="s">
        <v>9</v>
      </c>
    </row>
    <row r="5" spans="1:10" ht="14.25">
      <c r="A5" s="5" t="s">
        <v>21</v>
      </c>
      <c r="B5" s="6" t="s">
        <v>24</v>
      </c>
      <c r="C5" s="7">
        <v>0</v>
      </c>
      <c r="D5" s="8">
        <v>12.2</v>
      </c>
      <c r="E5" s="9">
        <v>1.02994E-2</v>
      </c>
      <c r="F5" s="6" t="s">
        <v>24</v>
      </c>
      <c r="G5" s="7">
        <v>0</v>
      </c>
      <c r="H5" s="8">
        <v>12.2</v>
      </c>
      <c r="I5" s="9">
        <v>1.856965E-2</v>
      </c>
      <c r="J5" s="10">
        <f t="shared" ref="J5:J19" si="0">IFERROR(VALUE(LEFT(F5,FIND("/",F5)-1))-VALUE(LEFT(B5,FIND("/",B5)-1)),"N/A")</f>
        <v>0</v>
      </c>
    </row>
    <row r="6" spans="1:10" ht="14.25">
      <c r="A6" s="11" t="s">
        <v>23</v>
      </c>
      <c r="B6" s="12" t="s">
        <v>24</v>
      </c>
      <c r="C6" s="13">
        <v>0</v>
      </c>
      <c r="D6" s="14">
        <v>9.8000000000000007</v>
      </c>
      <c r="E6" s="15">
        <v>3.1814399999999998E-3</v>
      </c>
      <c r="F6" s="12" t="s">
        <v>24</v>
      </c>
      <c r="G6" s="13">
        <v>0</v>
      </c>
      <c r="H6" s="14">
        <v>9.9</v>
      </c>
      <c r="I6" s="15">
        <v>6.8751899999999998E-3</v>
      </c>
      <c r="J6" s="16">
        <f t="shared" si="0"/>
        <v>0</v>
      </c>
    </row>
    <row r="7" spans="1:10" ht="14.25">
      <c r="A7" s="11" t="s">
        <v>25</v>
      </c>
      <c r="B7" s="12" t="s">
        <v>24</v>
      </c>
      <c r="C7" s="13">
        <v>0</v>
      </c>
      <c r="D7" s="14">
        <v>9.9</v>
      </c>
      <c r="E7" s="15">
        <v>3.3695800000000001E-3</v>
      </c>
      <c r="F7" s="12" t="s">
        <v>24</v>
      </c>
      <c r="G7" s="13">
        <v>0</v>
      </c>
      <c r="H7" s="14">
        <v>10.1</v>
      </c>
      <c r="I7" s="15">
        <v>5.6525799999999999E-3</v>
      </c>
      <c r="J7" s="16">
        <f t="shared" si="0"/>
        <v>0</v>
      </c>
    </row>
    <row r="8" spans="1:10" ht="14.25">
      <c r="A8" s="11" t="s">
        <v>26</v>
      </c>
      <c r="B8" s="12" t="s">
        <v>24</v>
      </c>
      <c r="C8" s="13">
        <v>0</v>
      </c>
      <c r="D8" s="14">
        <v>14.1</v>
      </c>
      <c r="E8" s="15">
        <v>3.3282979999999997E-2</v>
      </c>
      <c r="F8" s="12" t="s">
        <v>24</v>
      </c>
      <c r="G8" s="13">
        <v>0</v>
      </c>
      <c r="H8" s="14">
        <v>14.4</v>
      </c>
      <c r="I8" s="15">
        <v>4.2040729999999998E-2</v>
      </c>
      <c r="J8" s="16">
        <f t="shared" si="0"/>
        <v>0</v>
      </c>
    </row>
    <row r="9" spans="1:10" ht="14.25">
      <c r="A9" s="11" t="s">
        <v>28</v>
      </c>
      <c r="B9" s="12" t="s">
        <v>24</v>
      </c>
      <c r="C9" s="13">
        <v>0</v>
      </c>
      <c r="D9" s="14">
        <v>10.6</v>
      </c>
      <c r="E9" s="15">
        <v>4.7053399999999997E-3</v>
      </c>
      <c r="F9" s="12" t="s">
        <v>24</v>
      </c>
      <c r="G9" s="13">
        <v>0</v>
      </c>
      <c r="H9" s="14">
        <v>11</v>
      </c>
      <c r="I9" s="15">
        <v>1.3602589999999999E-2</v>
      </c>
      <c r="J9" s="16">
        <f t="shared" si="0"/>
        <v>0</v>
      </c>
    </row>
    <row r="10" spans="1:10" ht="14.25">
      <c r="A10" s="11" t="s">
        <v>10</v>
      </c>
      <c r="B10" s="12" t="s">
        <v>11</v>
      </c>
      <c r="C10" s="13">
        <v>0</v>
      </c>
      <c r="D10" s="14">
        <v>19.8</v>
      </c>
      <c r="E10" s="15">
        <v>4.2965679999999999E-2</v>
      </c>
      <c r="F10" s="12" t="s">
        <v>11</v>
      </c>
      <c r="G10" s="13">
        <v>0</v>
      </c>
      <c r="H10" s="14">
        <v>19.899999999999999</v>
      </c>
      <c r="I10" s="15">
        <v>5.2852929999999999E-2</v>
      </c>
      <c r="J10" s="16">
        <f t="shared" si="0"/>
        <v>0</v>
      </c>
    </row>
    <row r="11" spans="1:10" ht="14.25">
      <c r="A11" s="11" t="s">
        <v>12</v>
      </c>
      <c r="B11" s="12" t="s">
        <v>13</v>
      </c>
      <c r="C11" s="13">
        <v>0</v>
      </c>
      <c r="D11" s="14">
        <v>11</v>
      </c>
      <c r="E11" s="15">
        <v>9.0036400000000003E-3</v>
      </c>
      <c r="F11" s="12" t="s">
        <v>13</v>
      </c>
      <c r="G11" s="13">
        <v>0</v>
      </c>
      <c r="H11" s="14">
        <v>11.3</v>
      </c>
      <c r="I11" s="15">
        <v>1.844989E-2</v>
      </c>
      <c r="J11" s="16">
        <f t="shared" si="0"/>
        <v>0</v>
      </c>
    </row>
    <row r="12" spans="1:10" ht="14.25">
      <c r="A12" s="11" t="s">
        <v>14</v>
      </c>
      <c r="B12" s="12" t="s">
        <v>11</v>
      </c>
      <c r="C12" s="13">
        <v>0</v>
      </c>
      <c r="D12" s="14">
        <v>14.4</v>
      </c>
      <c r="E12" s="15">
        <v>2.617334E-2</v>
      </c>
      <c r="F12" s="12" t="s">
        <v>11</v>
      </c>
      <c r="G12" s="13">
        <v>0</v>
      </c>
      <c r="H12" s="14">
        <v>14.7</v>
      </c>
      <c r="I12" s="15">
        <v>3.6505339999999997E-2</v>
      </c>
      <c r="J12" s="16">
        <f t="shared" si="0"/>
        <v>0</v>
      </c>
    </row>
    <row r="13" spans="1:10" ht="14.25">
      <c r="A13" s="11" t="s">
        <v>15</v>
      </c>
      <c r="B13" s="12" t="s">
        <v>29</v>
      </c>
      <c r="C13" s="13">
        <v>0</v>
      </c>
      <c r="D13" s="14">
        <v>15.4</v>
      </c>
      <c r="E13" s="15">
        <v>3.1804140000000002E-2</v>
      </c>
      <c r="F13" s="12" t="s">
        <v>29</v>
      </c>
      <c r="G13" s="13">
        <v>0</v>
      </c>
      <c r="H13" s="14">
        <v>15.3</v>
      </c>
      <c r="I13" s="15">
        <v>4.4554139999999999E-2</v>
      </c>
      <c r="J13" s="16">
        <f t="shared" si="0"/>
        <v>0</v>
      </c>
    </row>
    <row r="14" spans="1:10" ht="14.25">
      <c r="A14" s="11" t="s">
        <v>18</v>
      </c>
      <c r="B14" s="12" t="s">
        <v>11</v>
      </c>
      <c r="C14" s="13">
        <v>0</v>
      </c>
      <c r="D14" s="14">
        <v>19.399999999999999</v>
      </c>
      <c r="E14" s="15">
        <v>6.5233139999999995E-2</v>
      </c>
      <c r="F14" s="12" t="s">
        <v>11</v>
      </c>
      <c r="G14" s="13">
        <v>0</v>
      </c>
      <c r="H14" s="14">
        <v>20.2</v>
      </c>
      <c r="I14" s="15">
        <v>7.5804389999999999E-2</v>
      </c>
      <c r="J14" s="16">
        <f t="shared" si="0"/>
        <v>0</v>
      </c>
    </row>
    <row r="15" spans="1:10" ht="14.25">
      <c r="A15" s="11" t="s">
        <v>30</v>
      </c>
      <c r="B15" s="12" t="s">
        <v>48</v>
      </c>
      <c r="C15" s="13">
        <v>0</v>
      </c>
      <c r="D15" s="14">
        <v>19.399999999999999</v>
      </c>
      <c r="E15" s="15">
        <v>3.0537600000000002E-2</v>
      </c>
      <c r="F15" s="12" t="s">
        <v>48</v>
      </c>
      <c r="G15" s="13">
        <v>0</v>
      </c>
      <c r="H15" s="14">
        <v>19.100000000000001</v>
      </c>
      <c r="I15" s="15">
        <v>4.3273350000000002E-2</v>
      </c>
      <c r="J15" s="16">
        <f t="shared" si="0"/>
        <v>0</v>
      </c>
    </row>
    <row r="16" spans="1:10" ht="14.25">
      <c r="A16" s="11" t="s">
        <v>33</v>
      </c>
      <c r="B16" s="12" t="s">
        <v>48</v>
      </c>
      <c r="C16" s="13">
        <v>0</v>
      </c>
      <c r="D16" s="14">
        <v>18.2</v>
      </c>
      <c r="E16" s="15">
        <v>4.7275240000000003E-2</v>
      </c>
      <c r="F16" s="12" t="s">
        <v>48</v>
      </c>
      <c r="G16" s="13">
        <v>0</v>
      </c>
      <c r="H16" s="14">
        <v>19.100000000000001</v>
      </c>
      <c r="I16" s="15">
        <v>7.5227740000000001E-2</v>
      </c>
      <c r="J16" s="16">
        <f t="shared" si="0"/>
        <v>0</v>
      </c>
    </row>
    <row r="17" spans="1:10" ht="14.25">
      <c r="A17" s="11" t="s">
        <v>35</v>
      </c>
      <c r="B17" s="12" t="s">
        <v>34</v>
      </c>
      <c r="C17" s="13">
        <v>0</v>
      </c>
      <c r="D17" s="14">
        <v>23.9</v>
      </c>
      <c r="E17" s="15">
        <v>8.7315539999999997E-2</v>
      </c>
      <c r="F17" s="12" t="s">
        <v>34</v>
      </c>
      <c r="G17" s="13">
        <v>0</v>
      </c>
      <c r="H17" s="14">
        <v>25.3</v>
      </c>
      <c r="I17" s="15">
        <v>0.13611578999999999</v>
      </c>
      <c r="J17" s="16">
        <f t="shared" si="0"/>
        <v>0</v>
      </c>
    </row>
    <row r="18" spans="1:10" ht="14.25">
      <c r="A18" s="11" t="s">
        <v>37</v>
      </c>
      <c r="B18" s="12" t="s">
        <v>44</v>
      </c>
      <c r="C18" s="13">
        <v>0</v>
      </c>
      <c r="D18" s="14">
        <v>19.5</v>
      </c>
      <c r="E18" s="15">
        <v>6.1846900000000003E-2</v>
      </c>
      <c r="F18" s="12" t="s">
        <v>44</v>
      </c>
      <c r="G18" s="13">
        <v>0</v>
      </c>
      <c r="H18" s="14">
        <v>19.8</v>
      </c>
      <c r="I18" s="15">
        <v>7.6332399999999995E-2</v>
      </c>
      <c r="J18" s="16">
        <f t="shared" si="0"/>
        <v>0</v>
      </c>
    </row>
    <row r="19" spans="1:10" ht="14.25">
      <c r="A19" s="17" t="s">
        <v>38</v>
      </c>
      <c r="B19" s="18" t="s">
        <v>34</v>
      </c>
      <c r="C19" s="19">
        <v>1</v>
      </c>
      <c r="D19" s="20">
        <v>35.299999999999997</v>
      </c>
      <c r="E19" s="21">
        <v>0.18673719999999999</v>
      </c>
      <c r="F19" s="18" t="s">
        <v>44</v>
      </c>
      <c r="G19" s="19">
        <v>1</v>
      </c>
      <c r="H19" s="20">
        <v>33.299999999999997</v>
      </c>
      <c r="I19" s="21">
        <v>0.30751665</v>
      </c>
      <c r="J19" s="22">
        <f t="shared" si="0"/>
        <v>1</v>
      </c>
    </row>
    <row r="20" spans="1:10" ht="14.25">
      <c r="A20" s="23" t="s">
        <v>19</v>
      </c>
      <c r="B20" s="23" t="s">
        <v>54</v>
      </c>
      <c r="C20" s="24">
        <f>SUM(C5:C19)</f>
        <v>1</v>
      </c>
      <c r="D20" s="25">
        <f>SUM(D5:D19)</f>
        <v>252.90000000000003</v>
      </c>
      <c r="E20" s="26">
        <f>SUM(E5:E19)</f>
        <v>0.64373115999999997</v>
      </c>
      <c r="F20" s="23" t="s">
        <v>55</v>
      </c>
      <c r="G20" s="24">
        <f>SUM(G5:G19)</f>
        <v>1</v>
      </c>
      <c r="H20" s="25">
        <f>SUM(H5:H19)</f>
        <v>255.60000000000002</v>
      </c>
      <c r="I20" s="26">
        <f>SUM(I5:I19)</f>
        <v>0.95337335999999984</v>
      </c>
      <c r="J20" s="27">
        <f>SUM(J5:J19)</f>
        <v>1</v>
      </c>
    </row>
  </sheetData>
  <mergeCells count="2">
    <mergeCell ref="A1:J1"/>
    <mergeCell ref="A2:J2"/>
  </mergeCells>
  <conditionalFormatting sqref="J5:J19">
    <cfRule type="cellIs" dxfId="46" priority="1" operator="greaterThan">
      <formula>0</formula>
    </cfRule>
    <cfRule type="cellIs" dxfId="45" priority="2" operator="lessThan">
      <formula>0</formula>
    </cfRule>
    <cfRule type="cellIs" dxfId="44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"/>
  <sheetViews>
    <sheetView showGridLines="0" workbookViewId="0">
      <selection activeCell="A2" sqref="A2:J2"/>
    </sheetView>
  </sheetViews>
  <sheetFormatPr defaultRowHeight="13.5"/>
  <cols>
    <col min="1" max="1" width="18" customWidth="1"/>
    <col min="2" max="2" width="25" customWidth="1"/>
    <col min="3" max="3" width="12" customWidth="1"/>
    <col min="4" max="4" width="16" customWidth="1"/>
    <col min="5" max="5" width="19" customWidth="1"/>
    <col min="6" max="6" width="25" customWidth="1"/>
    <col min="7" max="7" width="12" customWidth="1"/>
    <col min="8" max="8" width="16" customWidth="1"/>
    <col min="9" max="9" width="19" customWidth="1"/>
    <col min="10" max="10" width="11" customWidth="1"/>
  </cols>
  <sheetData>
    <row r="1" spans="1:10" ht="28.05" customHeight="1">
      <c r="A1" s="89" t="s">
        <v>56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ht="32" customHeight="1">
      <c r="A2" s="90"/>
      <c r="B2" s="90"/>
      <c r="C2" s="90"/>
      <c r="D2" s="90"/>
      <c r="E2" s="90"/>
      <c r="F2" s="90"/>
      <c r="G2" s="90"/>
      <c r="H2" s="90"/>
      <c r="I2" s="90"/>
      <c r="J2" s="90"/>
    </row>
    <row r="3" spans="1:10" ht="14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0" customHeight="1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4" t="s">
        <v>9</v>
      </c>
    </row>
    <row r="5" spans="1:10" ht="14.25">
      <c r="A5" s="5" t="s">
        <v>21</v>
      </c>
      <c r="B5" s="6" t="s">
        <v>22</v>
      </c>
      <c r="C5" s="7">
        <v>0</v>
      </c>
      <c r="D5" s="8">
        <v>13.8</v>
      </c>
      <c r="E5" s="9">
        <v>8.8265499999999998E-4</v>
      </c>
      <c r="F5" s="6" t="s">
        <v>22</v>
      </c>
      <c r="G5" s="7">
        <v>0</v>
      </c>
      <c r="H5" s="8">
        <v>13.8</v>
      </c>
      <c r="I5" s="9">
        <v>1.7283050000000001E-3</v>
      </c>
      <c r="J5" s="10">
        <f t="shared" ref="J5:J19" si="0">IFERROR(VALUE(LEFT(F5,FIND("/",F5)-1))-VALUE(LEFT(B5,FIND("/",B5)-1)),"N/A")</f>
        <v>0</v>
      </c>
    </row>
    <row r="6" spans="1:10" ht="14.25">
      <c r="A6" s="11" t="s">
        <v>23</v>
      </c>
      <c r="B6" s="12" t="s">
        <v>24</v>
      </c>
      <c r="C6" s="13">
        <v>0</v>
      </c>
      <c r="D6" s="14">
        <v>11.4</v>
      </c>
      <c r="E6" s="15">
        <v>9.7347999999999998E-4</v>
      </c>
      <c r="F6" s="12" t="s">
        <v>24</v>
      </c>
      <c r="G6" s="13">
        <v>0</v>
      </c>
      <c r="H6" s="14">
        <v>11.4</v>
      </c>
      <c r="I6" s="15">
        <v>1.5870299999999999E-3</v>
      </c>
      <c r="J6" s="16">
        <f t="shared" si="0"/>
        <v>0</v>
      </c>
    </row>
    <row r="7" spans="1:10" ht="14.25">
      <c r="A7" s="11" t="s">
        <v>25</v>
      </c>
      <c r="B7" s="12" t="s">
        <v>24</v>
      </c>
      <c r="C7" s="13">
        <v>0</v>
      </c>
      <c r="D7" s="14">
        <v>10.3</v>
      </c>
      <c r="E7" s="15">
        <v>3.18215E-4</v>
      </c>
      <c r="F7" s="12" t="s">
        <v>24</v>
      </c>
      <c r="G7" s="13">
        <v>0</v>
      </c>
      <c r="H7" s="14">
        <v>10.199999999999999</v>
      </c>
      <c r="I7" s="15">
        <v>5.8971499999999999E-4</v>
      </c>
      <c r="J7" s="16">
        <f t="shared" si="0"/>
        <v>0</v>
      </c>
    </row>
    <row r="8" spans="1:10" ht="14.25">
      <c r="A8" s="11" t="s">
        <v>26</v>
      </c>
      <c r="B8" s="12" t="s">
        <v>22</v>
      </c>
      <c r="C8" s="13">
        <v>0</v>
      </c>
      <c r="D8" s="14">
        <v>12.1</v>
      </c>
      <c r="E8" s="15">
        <v>8.46085E-4</v>
      </c>
      <c r="F8" s="12" t="s">
        <v>22</v>
      </c>
      <c r="G8" s="13">
        <v>0</v>
      </c>
      <c r="H8" s="14">
        <v>12.4</v>
      </c>
      <c r="I8" s="15">
        <v>1.5855349999999999E-3</v>
      </c>
      <c r="J8" s="16">
        <f t="shared" si="0"/>
        <v>0</v>
      </c>
    </row>
    <row r="9" spans="1:10" ht="14.25">
      <c r="A9" s="11" t="s">
        <v>28</v>
      </c>
      <c r="B9" s="12" t="s">
        <v>24</v>
      </c>
      <c r="C9" s="13">
        <v>0</v>
      </c>
      <c r="D9" s="14">
        <v>12.5</v>
      </c>
      <c r="E9" s="15">
        <v>8.3321000000000003E-4</v>
      </c>
      <c r="F9" s="12" t="s">
        <v>24</v>
      </c>
      <c r="G9" s="13">
        <v>0</v>
      </c>
      <c r="H9" s="14">
        <v>11.7</v>
      </c>
      <c r="I9" s="15">
        <v>1.6578599999999999E-3</v>
      </c>
      <c r="J9" s="16">
        <f t="shared" si="0"/>
        <v>0</v>
      </c>
    </row>
    <row r="10" spans="1:10" ht="14.25">
      <c r="A10" s="11" t="s">
        <v>10</v>
      </c>
      <c r="B10" s="12" t="s">
        <v>57</v>
      </c>
      <c r="C10" s="13">
        <v>0</v>
      </c>
      <c r="D10" s="14">
        <v>14.2</v>
      </c>
      <c r="E10" s="15">
        <v>1.207E-3</v>
      </c>
      <c r="F10" s="12" t="s">
        <v>13</v>
      </c>
      <c r="G10" s="13">
        <v>1</v>
      </c>
      <c r="H10" s="14">
        <v>15.5</v>
      </c>
      <c r="I10" s="15">
        <v>4.9597299999999999E-3</v>
      </c>
      <c r="J10" s="16">
        <f t="shared" si="0"/>
        <v>1</v>
      </c>
    </row>
    <row r="11" spans="1:10" ht="14.25">
      <c r="A11" s="11" t="s">
        <v>12</v>
      </c>
      <c r="B11" s="12" t="s">
        <v>13</v>
      </c>
      <c r="C11" s="13">
        <v>0</v>
      </c>
      <c r="D11" s="14">
        <v>12.2</v>
      </c>
      <c r="E11" s="15">
        <v>7.8353500000000003E-4</v>
      </c>
      <c r="F11" s="12" t="s">
        <v>11</v>
      </c>
      <c r="G11" s="13">
        <v>1</v>
      </c>
      <c r="H11" s="14">
        <v>13.5</v>
      </c>
      <c r="I11" s="15">
        <v>4.5267850000000002E-3</v>
      </c>
      <c r="J11" s="16">
        <f t="shared" si="0"/>
        <v>1</v>
      </c>
    </row>
    <row r="12" spans="1:10" ht="14.25">
      <c r="A12" s="11" t="s">
        <v>14</v>
      </c>
      <c r="B12" s="12" t="s">
        <v>13</v>
      </c>
      <c r="C12" s="13">
        <v>0</v>
      </c>
      <c r="D12" s="14">
        <v>13.7</v>
      </c>
      <c r="E12" s="15">
        <v>8.74565E-4</v>
      </c>
      <c r="F12" s="12" t="s">
        <v>13</v>
      </c>
      <c r="G12" s="13">
        <v>0</v>
      </c>
      <c r="H12" s="14">
        <v>14.1</v>
      </c>
      <c r="I12" s="15">
        <v>1.873965E-3</v>
      </c>
      <c r="J12" s="16">
        <f t="shared" si="0"/>
        <v>0</v>
      </c>
    </row>
    <row r="13" spans="1:10" ht="14.25">
      <c r="A13" s="11" t="s">
        <v>15</v>
      </c>
      <c r="B13" s="12" t="s">
        <v>29</v>
      </c>
      <c r="C13" s="13">
        <v>0</v>
      </c>
      <c r="D13" s="14">
        <v>14</v>
      </c>
      <c r="E13" s="15">
        <v>1.1982550000000001E-3</v>
      </c>
      <c r="F13" s="12" t="s">
        <v>29</v>
      </c>
      <c r="G13" s="13">
        <v>0</v>
      </c>
      <c r="H13" s="14">
        <v>13.8</v>
      </c>
      <c r="I13" s="15">
        <v>2.8371049999999999E-3</v>
      </c>
      <c r="J13" s="16">
        <f t="shared" si="0"/>
        <v>0</v>
      </c>
    </row>
    <row r="14" spans="1:10" ht="14.25">
      <c r="A14" s="11" t="s">
        <v>18</v>
      </c>
      <c r="B14" s="12" t="s">
        <v>11</v>
      </c>
      <c r="C14" s="13">
        <v>0</v>
      </c>
      <c r="D14" s="14">
        <v>14.6</v>
      </c>
      <c r="E14" s="15">
        <v>1.1735949999999999E-3</v>
      </c>
      <c r="F14" s="12" t="s">
        <v>11</v>
      </c>
      <c r="G14" s="13">
        <v>0</v>
      </c>
      <c r="H14" s="14">
        <v>15</v>
      </c>
      <c r="I14" s="15">
        <v>2.233245E-3</v>
      </c>
      <c r="J14" s="16">
        <f t="shared" si="0"/>
        <v>0</v>
      </c>
    </row>
    <row r="15" spans="1:10" ht="14.25">
      <c r="A15" s="11" t="s">
        <v>30</v>
      </c>
      <c r="B15" s="12" t="s">
        <v>32</v>
      </c>
      <c r="C15" s="13">
        <v>0</v>
      </c>
      <c r="D15" s="14">
        <v>15.1</v>
      </c>
      <c r="E15" s="15">
        <v>1.1993500000000001E-3</v>
      </c>
      <c r="F15" s="12" t="s">
        <v>32</v>
      </c>
      <c r="G15" s="13">
        <v>0</v>
      </c>
      <c r="H15" s="14">
        <v>15.7</v>
      </c>
      <c r="I15" s="15">
        <v>3.1254999999999998E-3</v>
      </c>
      <c r="J15" s="16">
        <f t="shared" si="0"/>
        <v>0</v>
      </c>
    </row>
    <row r="16" spans="1:10" ht="14.25">
      <c r="A16" s="11" t="s">
        <v>33</v>
      </c>
      <c r="B16" s="12" t="s">
        <v>44</v>
      </c>
      <c r="C16" s="13">
        <v>0</v>
      </c>
      <c r="D16" s="14">
        <v>16.3</v>
      </c>
      <c r="E16" s="15">
        <v>1.3439649999999999E-3</v>
      </c>
      <c r="F16" s="12" t="s">
        <v>32</v>
      </c>
      <c r="G16" s="13">
        <v>2</v>
      </c>
      <c r="H16" s="14">
        <v>24.9</v>
      </c>
      <c r="I16" s="15">
        <v>1.5098455E-2</v>
      </c>
      <c r="J16" s="16">
        <f t="shared" si="0"/>
        <v>1</v>
      </c>
    </row>
    <row r="17" spans="1:10" ht="14.25">
      <c r="A17" s="11" t="s">
        <v>35</v>
      </c>
      <c r="B17" s="12" t="s">
        <v>34</v>
      </c>
      <c r="C17" s="13">
        <v>0</v>
      </c>
      <c r="D17" s="14">
        <v>21.1</v>
      </c>
      <c r="E17" s="15">
        <v>1.6313600000000001E-3</v>
      </c>
      <c r="F17" s="12" t="s">
        <v>44</v>
      </c>
      <c r="G17" s="13">
        <v>2</v>
      </c>
      <c r="H17" s="14">
        <v>31</v>
      </c>
      <c r="I17" s="15">
        <v>1.988552E-2</v>
      </c>
      <c r="J17" s="16">
        <f t="shared" si="0"/>
        <v>1</v>
      </c>
    </row>
    <row r="18" spans="1:10" ht="14.25">
      <c r="A18" s="11" t="s">
        <v>37</v>
      </c>
      <c r="B18" s="12" t="s">
        <v>31</v>
      </c>
      <c r="C18" s="13">
        <v>0</v>
      </c>
      <c r="D18" s="14">
        <v>19.600000000000001</v>
      </c>
      <c r="E18" s="15">
        <v>1.41445E-3</v>
      </c>
      <c r="F18" s="12" t="s">
        <v>31</v>
      </c>
      <c r="G18" s="13">
        <v>0</v>
      </c>
      <c r="H18" s="14">
        <v>20.399999999999999</v>
      </c>
      <c r="I18" s="15">
        <v>3.3102000000000001E-3</v>
      </c>
      <c r="J18" s="16">
        <f t="shared" si="0"/>
        <v>0</v>
      </c>
    </row>
    <row r="19" spans="1:10" ht="14.25">
      <c r="A19" s="17" t="s">
        <v>38</v>
      </c>
      <c r="B19" s="18" t="s">
        <v>45</v>
      </c>
      <c r="C19" s="19">
        <v>1</v>
      </c>
      <c r="D19" s="20">
        <v>32.299999999999997</v>
      </c>
      <c r="E19" s="21">
        <v>5.3559599999999999E-3</v>
      </c>
      <c r="F19" s="18" t="s">
        <v>31</v>
      </c>
      <c r="G19" s="19">
        <v>1</v>
      </c>
      <c r="H19" s="20">
        <v>23.4</v>
      </c>
      <c r="I19" s="21">
        <v>1.153539E-2</v>
      </c>
      <c r="J19" s="22">
        <f t="shared" si="0"/>
        <v>1</v>
      </c>
    </row>
    <row r="20" spans="1:10" ht="14.25">
      <c r="A20" s="23" t="s">
        <v>19</v>
      </c>
      <c r="B20" s="23" t="s">
        <v>58</v>
      </c>
      <c r="C20" s="24">
        <f>SUM(C5:C19)</f>
        <v>1</v>
      </c>
      <c r="D20" s="25">
        <f>SUM(D5:D19)</f>
        <v>233.2</v>
      </c>
      <c r="E20" s="26">
        <f>SUM(E5:E19)</f>
        <v>2.003568E-2</v>
      </c>
      <c r="F20" s="23" t="s">
        <v>59</v>
      </c>
      <c r="G20" s="24">
        <f>SUM(G5:G19)</f>
        <v>7</v>
      </c>
      <c r="H20" s="25">
        <f>SUM(H5:H19)</f>
        <v>246.79999999999998</v>
      </c>
      <c r="I20" s="26">
        <f>SUM(I5:I19)</f>
        <v>7.6534340000000006E-2</v>
      </c>
      <c r="J20" s="27">
        <f>SUM(J5:J19)</f>
        <v>5</v>
      </c>
    </row>
  </sheetData>
  <mergeCells count="2">
    <mergeCell ref="A1:J1"/>
    <mergeCell ref="A2:J2"/>
  </mergeCells>
  <conditionalFormatting sqref="J5:J19">
    <cfRule type="cellIs" dxfId="43" priority="1" operator="greaterThan">
      <formula>0</formula>
    </cfRule>
    <cfRule type="cellIs" dxfId="42" priority="2" operator="lessThan">
      <formula>0</formula>
    </cfRule>
    <cfRule type="cellIs" dxfId="41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showGridLines="0" workbookViewId="0">
      <selection activeCell="A2" sqref="A2:J2"/>
    </sheetView>
  </sheetViews>
  <sheetFormatPr defaultRowHeight="13.5"/>
  <cols>
    <col min="1" max="1" width="18" customWidth="1"/>
    <col min="2" max="2" width="25" customWidth="1"/>
    <col min="3" max="3" width="12" customWidth="1"/>
    <col min="4" max="4" width="16" customWidth="1"/>
    <col min="5" max="5" width="19" customWidth="1"/>
    <col min="6" max="6" width="25" customWidth="1"/>
    <col min="7" max="7" width="12" customWidth="1"/>
    <col min="8" max="8" width="16" customWidth="1"/>
    <col min="9" max="9" width="19" customWidth="1"/>
    <col min="10" max="10" width="11" customWidth="1"/>
  </cols>
  <sheetData>
    <row r="1" spans="1:10" ht="28.05" customHeight="1">
      <c r="A1" s="89" t="s">
        <v>60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ht="32" customHeight="1">
      <c r="A2" s="90"/>
      <c r="B2" s="90"/>
      <c r="C2" s="90"/>
      <c r="D2" s="90"/>
      <c r="E2" s="90"/>
      <c r="F2" s="90"/>
      <c r="G2" s="90"/>
      <c r="H2" s="90"/>
      <c r="I2" s="90"/>
      <c r="J2" s="90"/>
    </row>
    <row r="3" spans="1:10" ht="14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0" customHeight="1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4" t="s">
        <v>9</v>
      </c>
    </row>
    <row r="5" spans="1:10" ht="14.25">
      <c r="A5" s="5" t="s">
        <v>21</v>
      </c>
      <c r="B5" s="6" t="s">
        <v>61</v>
      </c>
      <c r="C5" s="7">
        <v>3</v>
      </c>
      <c r="D5" s="8">
        <v>32.799999999999997</v>
      </c>
      <c r="E5" s="9">
        <v>1.85695E-3</v>
      </c>
      <c r="F5" s="6" t="s">
        <v>22</v>
      </c>
      <c r="G5" s="7">
        <v>1</v>
      </c>
      <c r="H5" s="8">
        <v>10.9</v>
      </c>
      <c r="I5" s="9">
        <v>2.2070499999999999E-3</v>
      </c>
      <c r="J5" s="10">
        <f t="shared" ref="J5:J19" si="0">IFERROR(VALUE(LEFT(F5,FIND("/",F5)-1))-VALUE(LEFT(B5,FIND("/",B5)-1)),"N/A")</f>
        <v>2</v>
      </c>
    </row>
    <row r="6" spans="1:10" ht="14.25">
      <c r="A6" s="11" t="s">
        <v>23</v>
      </c>
      <c r="B6" s="12" t="s">
        <v>24</v>
      </c>
      <c r="C6" s="13">
        <v>0</v>
      </c>
      <c r="D6" s="14">
        <v>10.3</v>
      </c>
      <c r="E6" s="15">
        <v>6.8252500000000002E-4</v>
      </c>
      <c r="F6" s="12" t="s">
        <v>24</v>
      </c>
      <c r="G6" s="13">
        <v>0</v>
      </c>
      <c r="H6" s="14">
        <v>10.6</v>
      </c>
      <c r="I6" s="15">
        <v>1.2983249999999999E-3</v>
      </c>
      <c r="J6" s="16">
        <f t="shared" si="0"/>
        <v>0</v>
      </c>
    </row>
    <row r="7" spans="1:10" ht="14.25">
      <c r="A7" s="11" t="s">
        <v>25</v>
      </c>
      <c r="B7" s="12" t="s">
        <v>22</v>
      </c>
      <c r="C7" s="13">
        <v>0</v>
      </c>
      <c r="D7" s="14">
        <v>9.5</v>
      </c>
      <c r="E7" s="15">
        <v>1.181E-4</v>
      </c>
      <c r="F7" s="12" t="s">
        <v>22</v>
      </c>
      <c r="G7" s="13">
        <v>0</v>
      </c>
      <c r="H7" s="14">
        <v>9.6</v>
      </c>
      <c r="I7" s="15">
        <v>3.8069999999999998E-4</v>
      </c>
      <c r="J7" s="16">
        <f t="shared" si="0"/>
        <v>0</v>
      </c>
    </row>
    <row r="8" spans="1:10" ht="14.25">
      <c r="A8" s="11" t="s">
        <v>26</v>
      </c>
      <c r="B8" s="12" t="s">
        <v>22</v>
      </c>
      <c r="C8" s="13">
        <v>0</v>
      </c>
      <c r="D8" s="14">
        <v>10.7</v>
      </c>
      <c r="E8" s="15">
        <v>1.5220000000000001E-4</v>
      </c>
      <c r="F8" s="12" t="s">
        <v>22</v>
      </c>
      <c r="G8" s="13">
        <v>0</v>
      </c>
      <c r="H8" s="14">
        <v>11.2</v>
      </c>
      <c r="I8" s="15">
        <v>7.5370000000000005E-4</v>
      </c>
      <c r="J8" s="16">
        <f t="shared" si="0"/>
        <v>0</v>
      </c>
    </row>
    <row r="9" spans="1:10" ht="14.25">
      <c r="A9" s="11" t="s">
        <v>28</v>
      </c>
      <c r="B9" s="12" t="s">
        <v>22</v>
      </c>
      <c r="C9" s="13">
        <v>0</v>
      </c>
      <c r="D9" s="14">
        <v>10.6</v>
      </c>
      <c r="E9" s="15">
        <v>1.6137500000000001E-4</v>
      </c>
      <c r="F9" s="12" t="s">
        <v>24</v>
      </c>
      <c r="G9" s="13">
        <v>1</v>
      </c>
      <c r="H9" s="14">
        <v>10.8</v>
      </c>
      <c r="I9" s="15">
        <v>2.465975E-3</v>
      </c>
      <c r="J9" s="16">
        <f t="shared" si="0"/>
        <v>1</v>
      </c>
    </row>
    <row r="10" spans="1:10" ht="14.25">
      <c r="A10" s="11" t="s">
        <v>10</v>
      </c>
      <c r="B10" s="12" t="s">
        <v>39</v>
      </c>
      <c r="C10" s="13">
        <v>5</v>
      </c>
      <c r="D10" s="14">
        <v>38.200000000000003</v>
      </c>
      <c r="E10" s="15">
        <v>3.7929499999999998E-3</v>
      </c>
      <c r="F10" s="12" t="s">
        <v>39</v>
      </c>
      <c r="G10" s="13">
        <v>5</v>
      </c>
      <c r="H10" s="14">
        <v>11.3</v>
      </c>
      <c r="I10" s="15">
        <v>1.34495E-2</v>
      </c>
      <c r="J10" s="16" t="str">
        <f t="shared" si="0"/>
        <v>N/A</v>
      </c>
    </row>
    <row r="11" spans="1:10" ht="14.25">
      <c r="A11" s="11" t="s">
        <v>12</v>
      </c>
      <c r="B11" s="12" t="s">
        <v>39</v>
      </c>
      <c r="C11" s="13">
        <v>5</v>
      </c>
      <c r="D11" s="14">
        <v>44.4</v>
      </c>
      <c r="E11" s="15">
        <v>5.5521499999999996E-3</v>
      </c>
      <c r="F11" s="12" t="s">
        <v>39</v>
      </c>
      <c r="G11" s="13">
        <v>5</v>
      </c>
      <c r="H11" s="14">
        <v>17.2</v>
      </c>
      <c r="I11" s="15">
        <v>9.5839500000000008E-3</v>
      </c>
      <c r="J11" s="16" t="str">
        <f t="shared" si="0"/>
        <v>N/A</v>
      </c>
    </row>
    <row r="12" spans="1:10" ht="14.25">
      <c r="A12" s="11" t="s">
        <v>14</v>
      </c>
      <c r="B12" s="12" t="s">
        <v>62</v>
      </c>
      <c r="C12" s="13">
        <v>1</v>
      </c>
      <c r="D12" s="14">
        <v>10.3</v>
      </c>
      <c r="E12" s="15">
        <v>6.3674999999999995E-4</v>
      </c>
      <c r="F12" s="12" t="s">
        <v>62</v>
      </c>
      <c r="G12" s="13">
        <v>2</v>
      </c>
      <c r="H12" s="14">
        <v>11.1</v>
      </c>
      <c r="I12" s="15">
        <v>4.6889000000000002E-3</v>
      </c>
      <c r="J12" s="16">
        <f t="shared" si="0"/>
        <v>0</v>
      </c>
    </row>
    <row r="13" spans="1:10" ht="14.25">
      <c r="A13" s="11" t="s">
        <v>15</v>
      </c>
      <c r="B13" s="12" t="s">
        <v>17</v>
      </c>
      <c r="C13" s="13">
        <v>2</v>
      </c>
      <c r="D13" s="14">
        <v>33.4</v>
      </c>
      <c r="E13" s="15">
        <v>2.2805249999999998E-3</v>
      </c>
      <c r="F13" s="12" t="s">
        <v>17</v>
      </c>
      <c r="G13" s="13">
        <v>1</v>
      </c>
      <c r="H13" s="14">
        <v>11.9</v>
      </c>
      <c r="I13" s="15">
        <v>3.8442749999999999E-3</v>
      </c>
      <c r="J13" s="16">
        <f t="shared" si="0"/>
        <v>0</v>
      </c>
    </row>
    <row r="14" spans="1:10" ht="14.25">
      <c r="A14" s="11" t="s">
        <v>18</v>
      </c>
      <c r="B14" s="12" t="s">
        <v>63</v>
      </c>
      <c r="C14" s="13">
        <v>3</v>
      </c>
      <c r="D14" s="14">
        <v>19</v>
      </c>
      <c r="E14" s="15">
        <v>2.2566750000000001E-3</v>
      </c>
      <c r="F14" s="12" t="s">
        <v>11</v>
      </c>
      <c r="G14" s="13">
        <v>3</v>
      </c>
      <c r="H14" s="14">
        <v>14.5</v>
      </c>
      <c r="I14" s="15">
        <v>8.0311749999999998E-3</v>
      </c>
      <c r="J14" s="16">
        <f t="shared" si="0"/>
        <v>5</v>
      </c>
    </row>
    <row r="15" spans="1:10" ht="14.25">
      <c r="A15" s="11" t="s">
        <v>30</v>
      </c>
      <c r="B15" s="12" t="s">
        <v>32</v>
      </c>
      <c r="C15" s="13">
        <v>5</v>
      </c>
      <c r="D15" s="14">
        <v>54.8</v>
      </c>
      <c r="E15" s="15">
        <v>5.0094500000000004E-3</v>
      </c>
      <c r="F15" s="12" t="s">
        <v>39</v>
      </c>
      <c r="G15" s="13">
        <v>5</v>
      </c>
      <c r="H15" s="14">
        <v>2.9</v>
      </c>
      <c r="I15" s="15">
        <v>1.46053E-2</v>
      </c>
      <c r="J15" s="16" t="str">
        <f t="shared" si="0"/>
        <v>N/A</v>
      </c>
    </row>
    <row r="16" spans="1:10" ht="14.25">
      <c r="A16" s="11" t="s">
        <v>33</v>
      </c>
      <c r="B16" s="12" t="s">
        <v>39</v>
      </c>
      <c r="C16" s="13">
        <v>5</v>
      </c>
      <c r="D16" s="14">
        <v>54.3</v>
      </c>
      <c r="E16" s="15">
        <v>5.5325499999999998E-3</v>
      </c>
      <c r="F16" s="12" t="s">
        <v>39</v>
      </c>
      <c r="G16" s="13">
        <v>5</v>
      </c>
      <c r="H16" s="14">
        <v>14.5</v>
      </c>
      <c r="I16" s="15">
        <v>1.7793550000000002E-2</v>
      </c>
      <c r="J16" s="16" t="str">
        <f t="shared" si="0"/>
        <v>N/A</v>
      </c>
    </row>
    <row r="17" spans="1:10" ht="14.25">
      <c r="A17" s="11" t="s">
        <v>35</v>
      </c>
      <c r="B17" s="12" t="s">
        <v>39</v>
      </c>
      <c r="C17" s="13">
        <v>5</v>
      </c>
      <c r="D17" s="14">
        <v>31</v>
      </c>
      <c r="E17" s="15">
        <v>7.7444250000000001E-3</v>
      </c>
      <c r="F17" s="12" t="s">
        <v>39</v>
      </c>
      <c r="G17" s="13">
        <v>5</v>
      </c>
      <c r="H17" s="14">
        <v>5.4</v>
      </c>
      <c r="I17" s="15">
        <v>2.7362174999999999E-2</v>
      </c>
      <c r="J17" s="16" t="str">
        <f t="shared" si="0"/>
        <v>N/A</v>
      </c>
    </row>
    <row r="18" spans="1:10" ht="14.25">
      <c r="A18" s="11" t="s">
        <v>37</v>
      </c>
      <c r="B18" s="12" t="s">
        <v>36</v>
      </c>
      <c r="C18" s="13">
        <v>1</v>
      </c>
      <c r="D18" s="14">
        <v>22.2</v>
      </c>
      <c r="E18" s="15">
        <v>1.4681749999999999E-3</v>
      </c>
      <c r="F18" s="12" t="s">
        <v>34</v>
      </c>
      <c r="G18" s="13">
        <v>3</v>
      </c>
      <c r="H18" s="14">
        <v>16.2</v>
      </c>
      <c r="I18" s="15">
        <v>1.6147725000000002E-2</v>
      </c>
      <c r="J18" s="16">
        <f t="shared" si="0"/>
        <v>3</v>
      </c>
    </row>
    <row r="19" spans="1:10" ht="14.25">
      <c r="A19" s="17" t="s">
        <v>38</v>
      </c>
      <c r="B19" s="18" t="s">
        <v>39</v>
      </c>
      <c r="C19" s="19">
        <v>5</v>
      </c>
      <c r="D19" s="20">
        <v>43.5</v>
      </c>
      <c r="E19" s="21">
        <v>8.9112749999999998E-3</v>
      </c>
      <c r="F19" s="18" t="s">
        <v>39</v>
      </c>
      <c r="G19" s="19">
        <v>5</v>
      </c>
      <c r="H19" s="20">
        <v>5.0999999999999996</v>
      </c>
      <c r="I19" s="21">
        <v>2.4286925000000001E-2</v>
      </c>
      <c r="J19" s="22" t="str">
        <f t="shared" si="0"/>
        <v>N/A</v>
      </c>
    </row>
    <row r="20" spans="1:10" ht="14.25">
      <c r="A20" s="23" t="s">
        <v>19</v>
      </c>
      <c r="B20" s="23" t="s">
        <v>64</v>
      </c>
      <c r="C20" s="24">
        <f>SUM(C5:C19)</f>
        <v>40</v>
      </c>
      <c r="D20" s="25">
        <f>SUM(D5:D19)</f>
        <v>425</v>
      </c>
      <c r="E20" s="26">
        <f>SUM(E5:E19)</f>
        <v>4.6156075000000005E-2</v>
      </c>
      <c r="F20" s="23" t="s">
        <v>65</v>
      </c>
      <c r="G20" s="24">
        <f>SUM(G5:G19)</f>
        <v>41</v>
      </c>
      <c r="H20" s="25">
        <f>SUM(H5:H19)</f>
        <v>163.19999999999999</v>
      </c>
      <c r="I20" s="26">
        <f>SUM(I5:I19)</f>
        <v>0.14689922500000002</v>
      </c>
      <c r="J20" s="27">
        <f>SUM(J5:J19)</f>
        <v>11</v>
      </c>
    </row>
  </sheetData>
  <mergeCells count="2">
    <mergeCell ref="A1:J1"/>
    <mergeCell ref="A2:J2"/>
  </mergeCells>
  <conditionalFormatting sqref="J5:J19">
    <cfRule type="cellIs" dxfId="40" priority="1" operator="greaterThan">
      <formula>0</formula>
    </cfRule>
    <cfRule type="cellIs" dxfId="39" priority="2" operator="lessThan">
      <formula>0</formula>
    </cfRule>
    <cfRule type="cellIs" dxfId="38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0"/>
  <sheetViews>
    <sheetView showGridLines="0" workbookViewId="0">
      <selection activeCell="A2" sqref="A2:J2"/>
    </sheetView>
  </sheetViews>
  <sheetFormatPr defaultRowHeight="13.5"/>
  <cols>
    <col min="1" max="1" width="18" customWidth="1"/>
    <col min="2" max="2" width="25" customWidth="1"/>
    <col min="3" max="3" width="12" customWidth="1"/>
    <col min="4" max="4" width="16" customWidth="1"/>
    <col min="5" max="5" width="19" customWidth="1"/>
    <col min="6" max="6" width="25" customWidth="1"/>
    <col min="7" max="7" width="12" customWidth="1"/>
    <col min="8" max="8" width="16" customWidth="1"/>
    <col min="9" max="9" width="19" customWidth="1"/>
    <col min="10" max="10" width="11" customWidth="1"/>
  </cols>
  <sheetData>
    <row r="1" spans="1:10" ht="28.05" customHeight="1">
      <c r="A1" s="89" t="s">
        <v>66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ht="32" customHeight="1">
      <c r="A2" s="90"/>
      <c r="B2" s="90"/>
      <c r="C2" s="90"/>
      <c r="D2" s="90"/>
      <c r="E2" s="90"/>
      <c r="F2" s="90"/>
      <c r="G2" s="90"/>
      <c r="H2" s="90"/>
      <c r="I2" s="90"/>
      <c r="J2" s="90"/>
    </row>
    <row r="3" spans="1:10" ht="14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0" customHeight="1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4" t="s">
        <v>9</v>
      </c>
    </row>
    <row r="5" spans="1:10" ht="14.25">
      <c r="A5" s="5" t="s">
        <v>21</v>
      </c>
      <c r="B5" s="6" t="s">
        <v>22</v>
      </c>
      <c r="C5" s="7">
        <v>0</v>
      </c>
      <c r="D5" s="8">
        <v>11.7</v>
      </c>
      <c r="E5" s="9">
        <v>5.1356000000000004E-4</v>
      </c>
      <c r="F5" s="6" t="s">
        <v>22</v>
      </c>
      <c r="G5" s="7">
        <v>0</v>
      </c>
      <c r="H5" s="8">
        <v>11.8</v>
      </c>
      <c r="I5" s="9">
        <v>1.40256E-3</v>
      </c>
      <c r="J5" s="10">
        <f t="shared" ref="J5:J19" si="0">IFERROR(VALUE(LEFT(F5,FIND("/",F5)-1))-VALUE(LEFT(B5,FIND("/",B5)-1)),"N/A")</f>
        <v>0</v>
      </c>
    </row>
    <row r="6" spans="1:10" ht="14.25">
      <c r="A6" s="11" t="s">
        <v>23</v>
      </c>
      <c r="B6" s="12" t="s">
        <v>24</v>
      </c>
      <c r="C6" s="13">
        <v>0</v>
      </c>
      <c r="D6" s="14">
        <v>9.9</v>
      </c>
      <c r="E6" s="15">
        <v>1.5862E-4</v>
      </c>
      <c r="F6" s="12" t="s">
        <v>24</v>
      </c>
      <c r="G6" s="13">
        <v>0</v>
      </c>
      <c r="H6" s="14">
        <v>10</v>
      </c>
      <c r="I6" s="15">
        <v>6.3637000000000003E-4</v>
      </c>
      <c r="J6" s="16">
        <f t="shared" si="0"/>
        <v>0</v>
      </c>
    </row>
    <row r="7" spans="1:10" ht="14.25">
      <c r="A7" s="11" t="s">
        <v>25</v>
      </c>
      <c r="B7" s="12" t="s">
        <v>24</v>
      </c>
      <c r="C7" s="13">
        <v>0</v>
      </c>
      <c r="D7" s="14">
        <v>9.8000000000000007</v>
      </c>
      <c r="E7" s="15">
        <v>6.4263999999999993E-5</v>
      </c>
      <c r="F7" s="12" t="s">
        <v>24</v>
      </c>
      <c r="G7" s="13">
        <v>0</v>
      </c>
      <c r="H7" s="14">
        <v>9.9</v>
      </c>
      <c r="I7" s="15">
        <v>3.2301399999999999E-4</v>
      </c>
      <c r="J7" s="16">
        <f t="shared" si="0"/>
        <v>0</v>
      </c>
    </row>
    <row r="8" spans="1:10" ht="14.25">
      <c r="A8" s="11" t="s">
        <v>26</v>
      </c>
      <c r="B8" s="12" t="s">
        <v>24</v>
      </c>
      <c r="C8" s="13">
        <v>0</v>
      </c>
      <c r="D8" s="14">
        <v>12.7</v>
      </c>
      <c r="E8" s="15">
        <v>5.5231400000000004E-4</v>
      </c>
      <c r="F8" s="12" t="s">
        <v>24</v>
      </c>
      <c r="G8" s="13">
        <v>0</v>
      </c>
      <c r="H8" s="14">
        <v>12.8</v>
      </c>
      <c r="I8" s="15">
        <v>1.5834639999999999E-3</v>
      </c>
      <c r="J8" s="16">
        <f t="shared" si="0"/>
        <v>0</v>
      </c>
    </row>
    <row r="9" spans="1:10" ht="14.25">
      <c r="A9" s="11" t="s">
        <v>28</v>
      </c>
      <c r="B9" s="12" t="s">
        <v>24</v>
      </c>
      <c r="C9" s="13">
        <v>0</v>
      </c>
      <c r="D9" s="14">
        <v>11</v>
      </c>
      <c r="E9" s="15">
        <v>3.35244E-4</v>
      </c>
      <c r="F9" s="12" t="s">
        <v>24</v>
      </c>
      <c r="G9" s="13">
        <v>0</v>
      </c>
      <c r="H9" s="14">
        <v>11.3</v>
      </c>
      <c r="I9" s="15">
        <v>1.5149440000000001E-3</v>
      </c>
      <c r="J9" s="16">
        <f t="shared" si="0"/>
        <v>0</v>
      </c>
    </row>
    <row r="10" spans="1:10" ht="14.25">
      <c r="A10" s="11" t="s">
        <v>10</v>
      </c>
      <c r="B10" s="12" t="s">
        <v>11</v>
      </c>
      <c r="C10" s="13">
        <v>0</v>
      </c>
      <c r="D10" s="14">
        <v>22</v>
      </c>
      <c r="E10" s="15">
        <v>1.868104E-3</v>
      </c>
      <c r="F10" s="12" t="s">
        <v>11</v>
      </c>
      <c r="G10" s="13">
        <v>0</v>
      </c>
      <c r="H10" s="14">
        <v>22.2</v>
      </c>
      <c r="I10" s="15">
        <v>2.8582540000000002E-3</v>
      </c>
      <c r="J10" s="16">
        <f t="shared" si="0"/>
        <v>0</v>
      </c>
    </row>
    <row r="11" spans="1:10" ht="14.25">
      <c r="A11" s="11" t="s">
        <v>12</v>
      </c>
      <c r="B11" s="12" t="s">
        <v>11</v>
      </c>
      <c r="C11" s="13">
        <v>0</v>
      </c>
      <c r="D11" s="14">
        <v>19.7</v>
      </c>
      <c r="E11" s="15">
        <v>2.3153639999999999E-3</v>
      </c>
      <c r="F11" s="12" t="s">
        <v>11</v>
      </c>
      <c r="G11" s="13">
        <v>0</v>
      </c>
      <c r="H11" s="14">
        <v>19.899999999999999</v>
      </c>
      <c r="I11" s="15">
        <v>3.297164E-3</v>
      </c>
      <c r="J11" s="16">
        <f t="shared" si="0"/>
        <v>0</v>
      </c>
    </row>
    <row r="12" spans="1:10" ht="14.25">
      <c r="A12" s="11" t="s">
        <v>14</v>
      </c>
      <c r="B12" s="12" t="s">
        <v>11</v>
      </c>
      <c r="C12" s="13">
        <v>0</v>
      </c>
      <c r="D12" s="14">
        <v>21.5</v>
      </c>
      <c r="E12" s="15">
        <v>2.1256299999999999E-3</v>
      </c>
      <c r="F12" s="12" t="s">
        <v>11</v>
      </c>
      <c r="G12" s="13">
        <v>0</v>
      </c>
      <c r="H12" s="14">
        <v>21.9</v>
      </c>
      <c r="I12" s="15">
        <v>3.12503E-3</v>
      </c>
      <c r="J12" s="16">
        <f t="shared" si="0"/>
        <v>0</v>
      </c>
    </row>
    <row r="13" spans="1:10" ht="14.25">
      <c r="A13" s="11" t="s">
        <v>15</v>
      </c>
      <c r="B13" s="12" t="s">
        <v>29</v>
      </c>
      <c r="C13" s="13">
        <v>0</v>
      </c>
      <c r="D13" s="14">
        <v>20.7</v>
      </c>
      <c r="E13" s="15">
        <v>2.2627440000000001E-3</v>
      </c>
      <c r="F13" s="12" t="s">
        <v>29</v>
      </c>
      <c r="G13" s="13">
        <v>0</v>
      </c>
      <c r="H13" s="14">
        <v>20.7</v>
      </c>
      <c r="I13" s="15">
        <v>3.5656939999999999E-3</v>
      </c>
      <c r="J13" s="16">
        <f t="shared" si="0"/>
        <v>0</v>
      </c>
    </row>
    <row r="14" spans="1:10" ht="14.25">
      <c r="A14" s="11" t="s">
        <v>18</v>
      </c>
      <c r="B14" s="12" t="s">
        <v>11</v>
      </c>
      <c r="C14" s="13">
        <v>0</v>
      </c>
      <c r="D14" s="14">
        <v>29.6</v>
      </c>
      <c r="E14" s="15">
        <v>2.5374E-3</v>
      </c>
      <c r="F14" s="12" t="s">
        <v>11</v>
      </c>
      <c r="G14" s="13">
        <v>0</v>
      </c>
      <c r="H14" s="14">
        <v>29.7</v>
      </c>
      <c r="I14" s="15">
        <v>3.59955E-3</v>
      </c>
      <c r="J14" s="16">
        <f t="shared" si="0"/>
        <v>0</v>
      </c>
    </row>
    <row r="15" spans="1:10" ht="14.25">
      <c r="A15" s="11" t="s">
        <v>30</v>
      </c>
      <c r="B15" s="12" t="s">
        <v>48</v>
      </c>
      <c r="C15" s="13">
        <v>0</v>
      </c>
      <c r="D15" s="14">
        <v>25.3</v>
      </c>
      <c r="E15" s="15">
        <v>1.7454E-3</v>
      </c>
      <c r="F15" s="12" t="s">
        <v>48</v>
      </c>
      <c r="G15" s="13">
        <v>0</v>
      </c>
      <c r="H15" s="14">
        <v>25.3</v>
      </c>
      <c r="I15" s="15">
        <v>3.83995E-3</v>
      </c>
      <c r="J15" s="16">
        <f t="shared" si="0"/>
        <v>0</v>
      </c>
    </row>
    <row r="16" spans="1:10" ht="14.25">
      <c r="A16" s="11" t="s">
        <v>33</v>
      </c>
      <c r="B16" s="12" t="s">
        <v>34</v>
      </c>
      <c r="C16" s="13">
        <v>0</v>
      </c>
      <c r="D16" s="14">
        <v>17.899999999999999</v>
      </c>
      <c r="E16" s="15">
        <v>1.3974040000000001E-3</v>
      </c>
      <c r="F16" s="12" t="s">
        <v>34</v>
      </c>
      <c r="G16" s="13">
        <v>0</v>
      </c>
      <c r="H16" s="14">
        <v>18.399999999999999</v>
      </c>
      <c r="I16" s="15">
        <v>3.686604E-3</v>
      </c>
      <c r="J16" s="16">
        <f t="shared" si="0"/>
        <v>0</v>
      </c>
    </row>
    <row r="17" spans="1:10" ht="14.25">
      <c r="A17" s="11" t="s">
        <v>35</v>
      </c>
      <c r="B17" s="12" t="s">
        <v>45</v>
      </c>
      <c r="C17" s="13">
        <v>1</v>
      </c>
      <c r="D17" s="14">
        <v>39.299999999999997</v>
      </c>
      <c r="E17" s="15">
        <v>4.9117800000000001E-3</v>
      </c>
      <c r="F17" s="12" t="s">
        <v>45</v>
      </c>
      <c r="G17" s="13">
        <v>1</v>
      </c>
      <c r="H17" s="14">
        <v>41</v>
      </c>
      <c r="I17" s="15">
        <v>1.176173E-2</v>
      </c>
      <c r="J17" s="16">
        <f t="shared" si="0"/>
        <v>0</v>
      </c>
    </row>
    <row r="18" spans="1:10" ht="14.25">
      <c r="A18" s="11" t="s">
        <v>37</v>
      </c>
      <c r="B18" s="12" t="s">
        <v>31</v>
      </c>
      <c r="C18" s="13">
        <v>0</v>
      </c>
      <c r="D18" s="14">
        <v>14.6</v>
      </c>
      <c r="E18" s="15">
        <v>7.4021000000000004E-4</v>
      </c>
      <c r="F18" s="12" t="s">
        <v>31</v>
      </c>
      <c r="G18" s="13">
        <v>0</v>
      </c>
      <c r="H18" s="14">
        <v>15.8</v>
      </c>
      <c r="I18" s="15">
        <v>3.2563100000000001E-3</v>
      </c>
      <c r="J18" s="16">
        <f t="shared" si="0"/>
        <v>0</v>
      </c>
    </row>
    <row r="19" spans="1:10" ht="14.25">
      <c r="A19" s="17" t="s">
        <v>38</v>
      </c>
      <c r="B19" s="18" t="s">
        <v>44</v>
      </c>
      <c r="C19" s="19">
        <v>0</v>
      </c>
      <c r="D19" s="20">
        <v>24.1</v>
      </c>
      <c r="E19" s="21">
        <v>3.0700800000000002E-3</v>
      </c>
      <c r="F19" s="18" t="s">
        <v>44</v>
      </c>
      <c r="G19" s="19">
        <v>1</v>
      </c>
      <c r="H19" s="20">
        <v>26.4</v>
      </c>
      <c r="I19" s="21">
        <v>1.183382E-2</v>
      </c>
      <c r="J19" s="22">
        <f t="shared" si="0"/>
        <v>0</v>
      </c>
    </row>
    <row r="20" spans="1:10" ht="14.25">
      <c r="A20" s="23" t="s">
        <v>19</v>
      </c>
      <c r="B20" s="23" t="s">
        <v>67</v>
      </c>
      <c r="C20" s="24">
        <f>SUM(C5:C19)</f>
        <v>1</v>
      </c>
      <c r="D20" s="25">
        <f>SUM(D5:D19)</f>
        <v>289.80000000000007</v>
      </c>
      <c r="E20" s="26">
        <f>SUM(E5:E19)</f>
        <v>2.4598118000000002E-2</v>
      </c>
      <c r="F20" s="23" t="s">
        <v>67</v>
      </c>
      <c r="G20" s="24">
        <f>SUM(G5:G19)</f>
        <v>2</v>
      </c>
      <c r="H20" s="25">
        <f>SUM(H5:H19)</f>
        <v>297.09999999999997</v>
      </c>
      <c r="I20" s="26">
        <f>SUM(I5:I19)</f>
        <v>5.6284458000000002E-2</v>
      </c>
      <c r="J20" s="27">
        <f>SUM(J5:J19)</f>
        <v>0</v>
      </c>
    </row>
  </sheetData>
  <mergeCells count="2">
    <mergeCell ref="A1:J1"/>
    <mergeCell ref="A2:J2"/>
  </mergeCells>
  <conditionalFormatting sqref="J5:J19">
    <cfRule type="cellIs" dxfId="37" priority="1" operator="greaterThan">
      <formula>0</formula>
    </cfRule>
    <cfRule type="cellIs" dxfId="36" priority="2" operator="lessThan">
      <formula>0</formula>
    </cfRule>
    <cfRule type="cellIs" dxfId="35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0"/>
  <sheetViews>
    <sheetView showGridLines="0" workbookViewId="0">
      <selection activeCell="A2" sqref="A2:J2"/>
    </sheetView>
  </sheetViews>
  <sheetFormatPr defaultRowHeight="13.5"/>
  <cols>
    <col min="1" max="1" width="20" customWidth="1"/>
    <col min="2" max="2" width="22.5" customWidth="1"/>
    <col min="3" max="3" width="11.1875" customWidth="1"/>
    <col min="4" max="4" width="18.6875" customWidth="1"/>
    <col min="5" max="5" width="17.5" customWidth="1"/>
    <col min="6" max="6" width="31.1875" customWidth="1"/>
    <col min="7" max="7" width="11.1875" customWidth="1"/>
    <col min="8" max="8" width="18.6875" customWidth="1"/>
    <col min="9" max="9" width="17.5" customWidth="1"/>
    <col min="10" max="10" width="11.1875" customWidth="1"/>
  </cols>
  <sheetData>
    <row r="1" spans="1:10" ht="25.5" customHeight="1">
      <c r="A1" s="91" t="s">
        <v>71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ht="40.5" customHeight="1">
      <c r="A2" s="92"/>
      <c r="B2" s="92"/>
      <c r="C2" s="92"/>
      <c r="D2" s="92"/>
      <c r="E2" s="92"/>
      <c r="F2" s="92"/>
      <c r="G2" s="92"/>
      <c r="H2" s="92"/>
      <c r="I2" s="92"/>
      <c r="J2" s="92"/>
    </row>
    <row r="3" spans="1:10" ht="10.5" customHeight="1"/>
    <row r="4" spans="1:10" ht="31.5" customHeight="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 ht="17.25" customHeight="1">
      <c r="A5" t="s">
        <v>21</v>
      </c>
      <c r="B5" t="s">
        <v>22</v>
      </c>
      <c r="C5" s="31">
        <v>0</v>
      </c>
      <c r="D5" s="32">
        <v>13.8</v>
      </c>
      <c r="E5" s="33">
        <v>8.8265499999999998E-4</v>
      </c>
      <c r="F5" t="s">
        <v>22</v>
      </c>
      <c r="G5" s="31">
        <v>0</v>
      </c>
      <c r="H5" s="32">
        <v>14.4</v>
      </c>
      <c r="I5" s="33">
        <v>5.0076549999999997E-3</v>
      </c>
      <c r="J5" s="34">
        <f t="shared" ref="J5:J19" si="0">IFERROR(VALUE(LEFT(F5,FIND("/",F5)-1))-VALUE(LEFT(B5,FIND("/",B5)-1)),"N/A")</f>
        <v>0</v>
      </c>
    </row>
    <row r="6" spans="1:10" ht="17.25" customHeight="1">
      <c r="A6" t="s">
        <v>23</v>
      </c>
      <c r="B6" t="s">
        <v>24</v>
      </c>
      <c r="C6" s="31">
        <v>0</v>
      </c>
      <c r="D6" s="32">
        <v>11.4</v>
      </c>
      <c r="E6" s="33">
        <v>9.7347999999999998E-4</v>
      </c>
      <c r="F6" t="s">
        <v>24</v>
      </c>
      <c r="G6" s="31">
        <v>0</v>
      </c>
      <c r="H6" s="32">
        <v>11.4</v>
      </c>
      <c r="I6" s="33">
        <v>2.7472299999999998E-3</v>
      </c>
      <c r="J6" s="34">
        <f t="shared" si="0"/>
        <v>0</v>
      </c>
    </row>
    <row r="7" spans="1:10" ht="17.25" customHeight="1">
      <c r="A7" t="s">
        <v>25</v>
      </c>
      <c r="B7" t="s">
        <v>24</v>
      </c>
      <c r="C7" s="31">
        <v>0</v>
      </c>
      <c r="D7" s="32">
        <v>10.3</v>
      </c>
      <c r="E7" s="33">
        <v>3.18215E-4</v>
      </c>
      <c r="F7" t="s">
        <v>24</v>
      </c>
      <c r="G7" s="31">
        <v>0</v>
      </c>
      <c r="H7" s="32">
        <v>10.6</v>
      </c>
      <c r="I7" s="33">
        <v>1.9622150000000002E-3</v>
      </c>
      <c r="J7" s="34">
        <f t="shared" si="0"/>
        <v>0</v>
      </c>
    </row>
    <row r="8" spans="1:10" ht="17.25" customHeight="1">
      <c r="A8" t="s">
        <v>26</v>
      </c>
      <c r="B8" t="s">
        <v>22</v>
      </c>
      <c r="C8" s="31">
        <v>0</v>
      </c>
      <c r="D8" s="32">
        <v>12.1</v>
      </c>
      <c r="E8" s="33">
        <v>8.46085E-4</v>
      </c>
      <c r="F8" t="s">
        <v>22</v>
      </c>
      <c r="G8" s="31">
        <v>0</v>
      </c>
      <c r="H8" s="32">
        <v>12.4</v>
      </c>
      <c r="I8" s="33">
        <v>3.0938350000000001E-3</v>
      </c>
      <c r="J8" s="34">
        <f t="shared" si="0"/>
        <v>0</v>
      </c>
    </row>
    <row r="9" spans="1:10" ht="17.25" customHeight="1">
      <c r="A9" t="s">
        <v>28</v>
      </c>
      <c r="B9" t="s">
        <v>24</v>
      </c>
      <c r="C9" s="31">
        <v>0</v>
      </c>
      <c r="D9" s="32">
        <v>12.5</v>
      </c>
      <c r="E9" s="33">
        <v>8.3321000000000003E-4</v>
      </c>
      <c r="F9" t="s">
        <v>24</v>
      </c>
      <c r="G9" s="31">
        <v>0</v>
      </c>
      <c r="H9" s="32">
        <v>12</v>
      </c>
      <c r="I9" s="33">
        <v>3.6487099999999999E-3</v>
      </c>
      <c r="J9" s="34">
        <f t="shared" si="0"/>
        <v>0</v>
      </c>
    </row>
    <row r="10" spans="1:10" ht="17.25" customHeight="1">
      <c r="A10" t="s">
        <v>10</v>
      </c>
      <c r="B10" t="s">
        <v>57</v>
      </c>
      <c r="C10" s="31">
        <v>0</v>
      </c>
      <c r="D10" s="32">
        <v>14.2</v>
      </c>
      <c r="E10" s="33">
        <v>1.207E-3</v>
      </c>
      <c r="F10" t="s">
        <v>57</v>
      </c>
      <c r="G10" s="31">
        <v>0</v>
      </c>
      <c r="H10" s="32">
        <v>14.5</v>
      </c>
      <c r="I10" s="33">
        <v>4.9022500000000004E-3</v>
      </c>
      <c r="J10" s="34">
        <f t="shared" si="0"/>
        <v>0</v>
      </c>
    </row>
    <row r="11" spans="1:10" ht="17.25" customHeight="1">
      <c r="A11" t="s">
        <v>12</v>
      </c>
      <c r="B11" t="s">
        <v>13</v>
      </c>
      <c r="C11" s="31">
        <v>0</v>
      </c>
      <c r="D11" s="32">
        <v>12.2</v>
      </c>
      <c r="E11" s="33">
        <v>7.8353500000000003E-4</v>
      </c>
      <c r="F11" t="s">
        <v>11</v>
      </c>
      <c r="G11" s="31">
        <v>3</v>
      </c>
      <c r="H11" s="32">
        <v>19.8</v>
      </c>
      <c r="I11" s="33">
        <v>1.8425174999999998E-2</v>
      </c>
      <c r="J11" s="34">
        <f t="shared" si="0"/>
        <v>1</v>
      </c>
    </row>
    <row r="12" spans="1:10" ht="17.25" customHeight="1">
      <c r="A12" t="s">
        <v>14</v>
      </c>
      <c r="B12" t="s">
        <v>13</v>
      </c>
      <c r="C12" s="31">
        <v>0</v>
      </c>
      <c r="D12" s="32">
        <v>13.7</v>
      </c>
      <c r="E12" s="33">
        <v>8.74565E-4</v>
      </c>
      <c r="F12" t="s">
        <v>13</v>
      </c>
      <c r="G12" s="31">
        <v>0</v>
      </c>
      <c r="H12" s="32">
        <v>13.9</v>
      </c>
      <c r="I12" s="33">
        <v>4.6905649999999998E-3</v>
      </c>
      <c r="J12" s="34">
        <f t="shared" si="0"/>
        <v>0</v>
      </c>
    </row>
    <row r="13" spans="1:10" ht="17.25" customHeight="1">
      <c r="A13" t="s">
        <v>15</v>
      </c>
      <c r="B13" t="s">
        <v>29</v>
      </c>
      <c r="C13" s="31">
        <v>0</v>
      </c>
      <c r="D13" s="32">
        <v>14</v>
      </c>
      <c r="E13" s="33">
        <v>1.1982550000000001E-3</v>
      </c>
      <c r="F13" t="s">
        <v>29</v>
      </c>
      <c r="G13" s="31">
        <v>0</v>
      </c>
      <c r="H13" s="32">
        <v>14.1</v>
      </c>
      <c r="I13" s="33">
        <v>5.0802550000000005E-3</v>
      </c>
      <c r="J13" s="34">
        <f t="shared" si="0"/>
        <v>0</v>
      </c>
    </row>
    <row r="14" spans="1:10" ht="17.25" customHeight="1">
      <c r="A14" t="s">
        <v>18</v>
      </c>
      <c r="B14" t="s">
        <v>11</v>
      </c>
      <c r="C14" s="31">
        <v>0</v>
      </c>
      <c r="D14" s="32">
        <v>14.6</v>
      </c>
      <c r="E14" s="33">
        <v>1.1735949999999999E-3</v>
      </c>
      <c r="F14" t="s">
        <v>11</v>
      </c>
      <c r="G14" s="31">
        <v>0</v>
      </c>
      <c r="H14" s="32">
        <v>15</v>
      </c>
      <c r="I14" s="33">
        <v>6.0208450000000004E-3</v>
      </c>
      <c r="J14" s="34">
        <f t="shared" si="0"/>
        <v>0</v>
      </c>
    </row>
    <row r="15" spans="1:10" ht="17.25" customHeight="1">
      <c r="A15" t="s">
        <v>30</v>
      </c>
      <c r="B15" t="s">
        <v>32</v>
      </c>
      <c r="C15" s="31">
        <v>0</v>
      </c>
      <c r="D15" s="32">
        <v>15.1</v>
      </c>
      <c r="E15" s="33">
        <v>1.1993500000000001E-3</v>
      </c>
      <c r="F15" t="s">
        <v>32</v>
      </c>
      <c r="G15" s="31">
        <v>0</v>
      </c>
      <c r="H15" s="32">
        <v>15.7</v>
      </c>
      <c r="I15" s="33">
        <v>5.75335E-3</v>
      </c>
      <c r="J15" s="34">
        <f t="shared" si="0"/>
        <v>0</v>
      </c>
    </row>
    <row r="16" spans="1:10" ht="17.25" customHeight="1">
      <c r="A16" t="s">
        <v>33</v>
      </c>
      <c r="B16" t="s">
        <v>44</v>
      </c>
      <c r="C16" s="31">
        <v>0</v>
      </c>
      <c r="D16" s="32">
        <v>16.3</v>
      </c>
      <c r="E16" s="33">
        <v>1.3439649999999999E-3</v>
      </c>
      <c r="F16" t="s">
        <v>44</v>
      </c>
      <c r="G16" s="31">
        <v>2</v>
      </c>
      <c r="H16" s="32">
        <v>24.6</v>
      </c>
      <c r="I16" s="33">
        <v>2.2883254999999998E-2</v>
      </c>
      <c r="J16" s="34">
        <f t="shared" si="0"/>
        <v>0</v>
      </c>
    </row>
    <row r="17" spans="1:10" ht="17.25" customHeight="1">
      <c r="A17" t="s">
        <v>35</v>
      </c>
      <c r="B17" t="s">
        <v>34</v>
      </c>
      <c r="C17" s="31">
        <v>0</v>
      </c>
      <c r="D17" s="32">
        <v>21.1</v>
      </c>
      <c r="E17" s="33">
        <v>1.6313600000000001E-3</v>
      </c>
      <c r="F17" t="s">
        <v>31</v>
      </c>
      <c r="G17" s="31">
        <v>2</v>
      </c>
      <c r="H17" s="32">
        <v>32.4</v>
      </c>
      <c r="I17" s="33">
        <v>3.368202E-2</v>
      </c>
      <c r="J17" s="34">
        <f t="shared" si="0"/>
        <v>-1</v>
      </c>
    </row>
    <row r="18" spans="1:10" ht="17.25" customHeight="1">
      <c r="A18" t="s">
        <v>37</v>
      </c>
      <c r="B18" t="s">
        <v>31</v>
      </c>
      <c r="C18" s="31">
        <v>0</v>
      </c>
      <c r="D18" s="32">
        <v>19.600000000000001</v>
      </c>
      <c r="E18" s="33">
        <v>1.41445E-3</v>
      </c>
      <c r="F18" t="s">
        <v>31</v>
      </c>
      <c r="G18" s="31">
        <v>1</v>
      </c>
      <c r="H18" s="32">
        <v>23.8</v>
      </c>
      <c r="I18" s="33">
        <v>1.4855139999999999E-2</v>
      </c>
      <c r="J18" s="34">
        <f t="shared" si="0"/>
        <v>0</v>
      </c>
    </row>
    <row r="19" spans="1:10" ht="17.25" customHeight="1">
      <c r="A19" t="s">
        <v>38</v>
      </c>
      <c r="B19" t="s">
        <v>45</v>
      </c>
      <c r="C19" s="31">
        <v>1</v>
      </c>
      <c r="D19" s="32">
        <v>32.299999999999997</v>
      </c>
      <c r="E19" s="33">
        <v>5.3559599999999999E-3</v>
      </c>
      <c r="F19" t="s">
        <v>39</v>
      </c>
      <c r="G19" s="31">
        <v>5</v>
      </c>
      <c r="H19" s="32">
        <v>40.299999999999997</v>
      </c>
      <c r="I19" s="33">
        <v>6.2790239999999997E-2</v>
      </c>
      <c r="J19" s="34" t="str">
        <f t="shared" si="0"/>
        <v>N/A</v>
      </c>
    </row>
    <row r="20" spans="1:10" ht="17.25" customHeight="1">
      <c r="A20" t="s">
        <v>19</v>
      </c>
      <c r="B20" t="s">
        <v>58</v>
      </c>
      <c r="C20" s="31">
        <f>SUM(C5:C19)</f>
        <v>1</v>
      </c>
      <c r="D20" s="32">
        <f>SUM(D5:D19)</f>
        <v>233.2</v>
      </c>
      <c r="E20" s="33">
        <f>SUM(E5:E19)</f>
        <v>2.003568E-2</v>
      </c>
      <c r="F20" t="s">
        <v>81</v>
      </c>
      <c r="G20" s="31">
        <f>SUM(G5:G19)</f>
        <v>13</v>
      </c>
      <c r="H20" s="32">
        <f>SUM(H5:H19)</f>
        <v>274.89999999999998</v>
      </c>
      <c r="I20" s="33">
        <f>SUM(I5:I19)</f>
        <v>0.19554273999999996</v>
      </c>
      <c r="J20" s="34">
        <f>SUM(J5:J19)</f>
        <v>0</v>
      </c>
    </row>
  </sheetData>
  <mergeCells count="2">
    <mergeCell ref="A1:J1"/>
    <mergeCell ref="A2:J2"/>
  </mergeCells>
  <conditionalFormatting sqref="J5:J19">
    <cfRule type="cellIs" dxfId="34" priority="1" operator="greaterThan">
      <formula>0</formula>
    </cfRule>
    <cfRule type="cellIs" dxfId="33" priority="2" operator="lessThan">
      <formula>0</formula>
    </cfRule>
    <cfRule type="cellIs" dxfId="32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0"/>
  <sheetViews>
    <sheetView showGridLines="0" workbookViewId="0">
      <selection activeCell="A2" sqref="A2:J2"/>
    </sheetView>
  </sheetViews>
  <sheetFormatPr defaultRowHeight="13.5"/>
  <cols>
    <col min="1" max="1" width="20" customWidth="1"/>
    <col min="2" max="2" width="22.5" customWidth="1"/>
    <col min="3" max="3" width="11.1875" customWidth="1"/>
    <col min="4" max="4" width="18.6875" customWidth="1"/>
    <col min="5" max="5" width="17.5" customWidth="1"/>
    <col min="6" max="6" width="38.6875" customWidth="1"/>
    <col min="7" max="7" width="11.1875" customWidth="1"/>
    <col min="8" max="8" width="18.6875" customWidth="1"/>
    <col min="9" max="9" width="17.5" customWidth="1"/>
    <col min="10" max="10" width="11.1875" customWidth="1"/>
  </cols>
  <sheetData>
    <row r="1" spans="1:10" ht="25.5" customHeight="1">
      <c r="A1" s="91" t="s">
        <v>72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ht="40.5" customHeight="1">
      <c r="A2" s="92"/>
      <c r="B2" s="92"/>
      <c r="C2" s="92"/>
      <c r="D2" s="92"/>
      <c r="E2" s="92"/>
      <c r="F2" s="92"/>
      <c r="G2" s="92"/>
      <c r="H2" s="92"/>
      <c r="I2" s="92"/>
      <c r="J2" s="92"/>
    </row>
    <row r="3" spans="1:10" ht="10.5" customHeight="1"/>
    <row r="4" spans="1:10" ht="31.5" customHeight="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 ht="17.25" customHeight="1">
      <c r="A5" t="s">
        <v>21</v>
      </c>
      <c r="B5" t="s">
        <v>61</v>
      </c>
      <c r="C5" s="31">
        <v>3</v>
      </c>
      <c r="D5" s="32">
        <v>32.799999999999997</v>
      </c>
      <c r="E5" s="33">
        <v>1.85695E-3</v>
      </c>
      <c r="F5" t="s">
        <v>24</v>
      </c>
      <c r="G5" s="31">
        <v>2</v>
      </c>
      <c r="H5" s="32">
        <v>12.1</v>
      </c>
      <c r="I5" s="33">
        <v>7.4773500000000007E-3</v>
      </c>
      <c r="J5" s="34">
        <f t="shared" ref="J5:J19" si="0">IFERROR(VALUE(LEFT(F5,FIND("/",F5)-1))-VALUE(LEFT(B5,FIND("/",B5)-1)),"N/A")</f>
        <v>3</v>
      </c>
    </row>
    <row r="6" spans="1:10" ht="17.25" customHeight="1">
      <c r="A6" t="s">
        <v>23</v>
      </c>
      <c r="B6" t="s">
        <v>24</v>
      </c>
      <c r="C6" s="31">
        <v>0</v>
      </c>
      <c r="D6" s="32">
        <v>10.3</v>
      </c>
      <c r="E6" s="33">
        <v>6.8252500000000002E-4</v>
      </c>
      <c r="F6" t="s">
        <v>24</v>
      </c>
      <c r="G6" s="31">
        <v>0</v>
      </c>
      <c r="H6" s="32">
        <v>10.5</v>
      </c>
      <c r="I6" s="33">
        <v>2.5575249999999997E-3</v>
      </c>
      <c r="J6" s="34">
        <f t="shared" si="0"/>
        <v>0</v>
      </c>
    </row>
    <row r="7" spans="1:10" ht="17.25" customHeight="1">
      <c r="A7" t="s">
        <v>25</v>
      </c>
      <c r="B7" t="s">
        <v>22</v>
      </c>
      <c r="C7" s="31">
        <v>0</v>
      </c>
      <c r="D7" s="32">
        <v>9.5</v>
      </c>
      <c r="E7" s="33">
        <v>1.181E-4</v>
      </c>
      <c r="F7" t="s">
        <v>24</v>
      </c>
      <c r="G7" s="31">
        <v>1</v>
      </c>
      <c r="H7" s="32">
        <v>10.4</v>
      </c>
      <c r="I7" s="33">
        <v>4.3787000000000001E-3</v>
      </c>
      <c r="J7" s="34">
        <f t="shared" si="0"/>
        <v>1</v>
      </c>
    </row>
    <row r="8" spans="1:10" ht="17.25" customHeight="1">
      <c r="A8" t="s">
        <v>26</v>
      </c>
      <c r="B8" t="s">
        <v>22</v>
      </c>
      <c r="C8" s="31">
        <v>0</v>
      </c>
      <c r="D8" s="32">
        <v>10.7</v>
      </c>
      <c r="E8" s="33">
        <v>1.5220000000000001E-4</v>
      </c>
      <c r="F8" t="s">
        <v>22</v>
      </c>
      <c r="G8" s="31">
        <v>0</v>
      </c>
      <c r="H8" s="32">
        <v>10.9</v>
      </c>
      <c r="I8" s="33">
        <v>2.0257000000000001E-3</v>
      </c>
      <c r="J8" s="34">
        <f t="shared" si="0"/>
        <v>0</v>
      </c>
    </row>
    <row r="9" spans="1:10" ht="17.25" customHeight="1">
      <c r="A9" t="s">
        <v>28</v>
      </c>
      <c r="B9" t="s">
        <v>22</v>
      </c>
      <c r="C9" s="31">
        <v>0</v>
      </c>
      <c r="D9" s="32">
        <v>10.6</v>
      </c>
      <c r="E9" s="33">
        <v>1.6137500000000001E-4</v>
      </c>
      <c r="F9" t="s">
        <v>24</v>
      </c>
      <c r="G9" s="31">
        <v>1</v>
      </c>
      <c r="H9" s="32">
        <v>11.2</v>
      </c>
      <c r="I9" s="33">
        <v>5.9152249999999996E-3</v>
      </c>
      <c r="J9" s="34">
        <f t="shared" si="0"/>
        <v>1</v>
      </c>
    </row>
    <row r="10" spans="1:10" ht="17.25" customHeight="1">
      <c r="A10" t="s">
        <v>10</v>
      </c>
      <c r="B10" t="s">
        <v>39</v>
      </c>
      <c r="C10" s="31">
        <v>5</v>
      </c>
      <c r="D10" s="32">
        <v>38.200000000000003</v>
      </c>
      <c r="E10" s="33">
        <v>3.7929499999999998E-3</v>
      </c>
      <c r="F10" t="s">
        <v>82</v>
      </c>
      <c r="G10" s="31">
        <v>4</v>
      </c>
      <c r="H10" s="32">
        <v>17.600000000000001</v>
      </c>
      <c r="I10" s="33">
        <v>2.33867E-2</v>
      </c>
      <c r="J10" s="34" t="str">
        <f t="shared" si="0"/>
        <v>N/A</v>
      </c>
    </row>
    <row r="11" spans="1:10" ht="17.25" customHeight="1">
      <c r="A11" t="s">
        <v>12</v>
      </c>
      <c r="B11" t="s">
        <v>39</v>
      </c>
      <c r="C11" s="31">
        <v>5</v>
      </c>
      <c r="D11" s="32">
        <v>44.4</v>
      </c>
      <c r="E11" s="33">
        <v>5.5521499999999996E-3</v>
      </c>
      <c r="F11" t="s">
        <v>39</v>
      </c>
      <c r="G11" s="31">
        <v>5</v>
      </c>
      <c r="H11" s="32">
        <v>19.600000000000001</v>
      </c>
      <c r="I11" s="33">
        <v>2.3985650000000001E-2</v>
      </c>
      <c r="J11" s="34" t="str">
        <f t="shared" si="0"/>
        <v>N/A</v>
      </c>
    </row>
    <row r="12" spans="1:10" ht="17.25" customHeight="1">
      <c r="A12" t="s">
        <v>14</v>
      </c>
      <c r="B12" t="s">
        <v>62</v>
      </c>
      <c r="C12" s="31">
        <v>1</v>
      </c>
      <c r="D12" s="32">
        <v>10.3</v>
      </c>
      <c r="E12" s="33">
        <v>6.3674999999999995E-4</v>
      </c>
      <c r="F12" t="s">
        <v>62</v>
      </c>
      <c r="G12" s="31">
        <v>2</v>
      </c>
      <c r="H12" s="32">
        <v>10.8</v>
      </c>
      <c r="I12" s="33">
        <v>8.2404000000000002E-3</v>
      </c>
      <c r="J12" s="34">
        <f t="shared" si="0"/>
        <v>0</v>
      </c>
    </row>
    <row r="13" spans="1:10" ht="17.25" customHeight="1">
      <c r="A13" t="s">
        <v>15</v>
      </c>
      <c r="B13" t="s">
        <v>17</v>
      </c>
      <c r="C13" s="31">
        <v>2</v>
      </c>
      <c r="D13" s="32">
        <v>33.4</v>
      </c>
      <c r="E13" s="33">
        <v>2.2805249999999998E-3</v>
      </c>
      <c r="F13" t="s">
        <v>29</v>
      </c>
      <c r="G13" s="31">
        <v>2</v>
      </c>
      <c r="H13" s="32">
        <v>13.4</v>
      </c>
      <c r="I13" s="33">
        <v>1.4839524999999999E-2</v>
      </c>
      <c r="J13" s="34">
        <f t="shared" si="0"/>
        <v>1</v>
      </c>
    </row>
    <row r="14" spans="1:10" ht="17.25" customHeight="1">
      <c r="A14" t="s">
        <v>18</v>
      </c>
      <c r="B14" t="s">
        <v>63</v>
      </c>
      <c r="C14" s="31">
        <v>3</v>
      </c>
      <c r="D14" s="32">
        <v>19</v>
      </c>
      <c r="E14" s="33">
        <v>2.2566750000000001E-3</v>
      </c>
      <c r="F14" t="s">
        <v>39</v>
      </c>
      <c r="G14" s="31">
        <v>5</v>
      </c>
      <c r="H14" s="32">
        <v>8.5</v>
      </c>
      <c r="I14" s="33">
        <v>1.8275025E-2</v>
      </c>
      <c r="J14" s="34" t="str">
        <f t="shared" si="0"/>
        <v>N/A</v>
      </c>
    </row>
    <row r="15" spans="1:10" ht="17.25" customHeight="1">
      <c r="A15" t="s">
        <v>30</v>
      </c>
      <c r="B15" t="s">
        <v>32</v>
      </c>
      <c r="C15" s="31">
        <v>5</v>
      </c>
      <c r="D15" s="32">
        <v>54.8</v>
      </c>
      <c r="E15" s="33">
        <v>5.0094500000000004E-3</v>
      </c>
      <c r="F15" t="s">
        <v>39</v>
      </c>
      <c r="G15" s="31">
        <v>5</v>
      </c>
      <c r="H15" s="32">
        <v>10.1</v>
      </c>
      <c r="I15" s="33">
        <v>3.5618449999999996E-2</v>
      </c>
      <c r="J15" s="34" t="str">
        <f t="shared" si="0"/>
        <v>N/A</v>
      </c>
    </row>
    <row r="16" spans="1:10" ht="17.25" customHeight="1">
      <c r="A16" t="s">
        <v>33</v>
      </c>
      <c r="B16" t="s">
        <v>39</v>
      </c>
      <c r="C16" s="31">
        <v>5</v>
      </c>
      <c r="D16" s="32">
        <v>54.3</v>
      </c>
      <c r="E16" s="33">
        <v>5.5325499999999998E-3</v>
      </c>
      <c r="F16" t="s">
        <v>82</v>
      </c>
      <c r="G16" s="31">
        <v>0</v>
      </c>
      <c r="H16" s="32">
        <v>0.5</v>
      </c>
      <c r="I16" s="33">
        <v>9.5476499999999995E-3</v>
      </c>
      <c r="J16" s="34" t="str">
        <f t="shared" si="0"/>
        <v>N/A</v>
      </c>
    </row>
    <row r="17" spans="1:10" ht="17.25" customHeight="1">
      <c r="A17" t="s">
        <v>35</v>
      </c>
      <c r="B17" t="s">
        <v>39</v>
      </c>
      <c r="C17" s="31">
        <v>5</v>
      </c>
      <c r="D17" s="32">
        <v>31</v>
      </c>
      <c r="E17" s="33">
        <v>7.7444250000000001E-3</v>
      </c>
      <c r="F17" t="s">
        <v>39</v>
      </c>
      <c r="G17" s="31">
        <v>5</v>
      </c>
      <c r="H17" s="32">
        <v>3.9</v>
      </c>
      <c r="I17" s="33">
        <v>4.5369025E-2</v>
      </c>
      <c r="J17" s="34" t="str">
        <f t="shared" si="0"/>
        <v>N/A</v>
      </c>
    </row>
    <row r="18" spans="1:10" ht="17.25" customHeight="1">
      <c r="A18" t="s">
        <v>37</v>
      </c>
      <c r="B18" t="s">
        <v>36</v>
      </c>
      <c r="C18" s="31">
        <v>1</v>
      </c>
      <c r="D18" s="32">
        <v>22.2</v>
      </c>
      <c r="E18" s="33">
        <v>1.4681749999999999E-3</v>
      </c>
      <c r="F18" t="s">
        <v>83</v>
      </c>
      <c r="G18" s="31">
        <v>1</v>
      </c>
      <c r="H18" s="32">
        <v>3.3</v>
      </c>
      <c r="I18" s="33">
        <v>1.0976075E-2</v>
      </c>
      <c r="J18" s="34" t="str">
        <f t="shared" si="0"/>
        <v>N/A</v>
      </c>
    </row>
    <row r="19" spans="1:10" ht="17.25" customHeight="1">
      <c r="A19" t="s">
        <v>38</v>
      </c>
      <c r="B19" t="s">
        <v>39</v>
      </c>
      <c r="C19" s="31">
        <v>5</v>
      </c>
      <c r="D19" s="32">
        <v>43.5</v>
      </c>
      <c r="E19" s="33">
        <v>8.9112749999999998E-3</v>
      </c>
      <c r="F19" t="s">
        <v>39</v>
      </c>
      <c r="G19" s="31">
        <v>5</v>
      </c>
      <c r="H19" s="32">
        <v>3.3</v>
      </c>
      <c r="I19" s="33">
        <v>4.4413325000000003E-2</v>
      </c>
      <c r="J19" s="34" t="str">
        <f t="shared" si="0"/>
        <v>N/A</v>
      </c>
    </row>
    <row r="20" spans="1:10" ht="28.5" customHeight="1">
      <c r="A20" t="s">
        <v>19</v>
      </c>
      <c r="B20" t="s">
        <v>64</v>
      </c>
      <c r="C20" s="31">
        <f>SUM(C5:C19)</f>
        <v>40</v>
      </c>
      <c r="D20" s="32">
        <f>SUM(D5:D19)</f>
        <v>425</v>
      </c>
      <c r="E20" s="33">
        <f>SUM(E5:E19)</f>
        <v>4.6156075000000005E-2</v>
      </c>
      <c r="F20" s="35" t="s">
        <v>84</v>
      </c>
      <c r="G20" s="31">
        <f>SUM(G5:G19)</f>
        <v>38</v>
      </c>
      <c r="H20" s="32">
        <f>SUM(H5:H19)</f>
        <v>146.10000000000002</v>
      </c>
      <c r="I20" s="33">
        <f>SUM(I5:I19)</f>
        <v>0.25700632499999998</v>
      </c>
      <c r="J20" s="34">
        <f>SUM(J5:J19)</f>
        <v>6</v>
      </c>
    </row>
  </sheetData>
  <mergeCells count="2">
    <mergeCell ref="A1:J1"/>
    <mergeCell ref="A2:J2"/>
  </mergeCells>
  <conditionalFormatting sqref="J5:J19">
    <cfRule type="cellIs" dxfId="31" priority="1" operator="greaterThan">
      <formula>0</formula>
    </cfRule>
    <cfRule type="cellIs" dxfId="30" priority="2" operator="lessThan">
      <formula>0</formula>
    </cfRule>
    <cfRule type="cellIs" dxfId="29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0"/>
  <sheetViews>
    <sheetView showGridLines="0" workbookViewId="0">
      <selection activeCell="A2" sqref="A2:J2"/>
    </sheetView>
  </sheetViews>
  <sheetFormatPr defaultRowHeight="13.5"/>
  <cols>
    <col min="1" max="1" width="20" customWidth="1"/>
    <col min="2" max="2" width="22.5" customWidth="1"/>
    <col min="3" max="3" width="11.1875" customWidth="1"/>
    <col min="4" max="4" width="18.6875" customWidth="1"/>
    <col min="5" max="5" width="17.5" customWidth="1"/>
    <col min="6" max="6" width="31.1875" customWidth="1"/>
    <col min="7" max="7" width="11.1875" customWidth="1"/>
    <col min="8" max="8" width="18.6875" customWidth="1"/>
    <col min="9" max="9" width="17.5" customWidth="1"/>
    <col min="10" max="10" width="11.1875" customWidth="1"/>
  </cols>
  <sheetData>
    <row r="1" spans="1:10" ht="25.5" customHeight="1">
      <c r="A1" s="87" t="s">
        <v>73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40.5" customHeight="1">
      <c r="A2" s="88"/>
      <c r="B2" s="88"/>
      <c r="C2" s="88"/>
      <c r="D2" s="88"/>
      <c r="E2" s="88"/>
      <c r="F2" s="88"/>
      <c r="G2" s="88"/>
      <c r="H2" s="88"/>
      <c r="I2" s="88"/>
      <c r="J2" s="88"/>
    </row>
    <row r="3" spans="1:10" ht="10.5" customHeight="1"/>
    <row r="4" spans="1:10" ht="31.5" customHeight="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 ht="17.25" customHeight="1">
      <c r="A5" t="s">
        <v>21</v>
      </c>
      <c r="B5" t="s">
        <v>22</v>
      </c>
      <c r="C5" s="31">
        <v>0</v>
      </c>
      <c r="D5" s="32">
        <v>11.4</v>
      </c>
      <c r="E5" s="33">
        <v>2.1294999999999999E-3</v>
      </c>
      <c r="F5" t="s">
        <v>22</v>
      </c>
      <c r="G5" s="31">
        <v>0</v>
      </c>
      <c r="H5" s="32">
        <v>12.8</v>
      </c>
      <c r="I5" s="33">
        <v>3.3584499999999998E-3</v>
      </c>
      <c r="J5" s="34">
        <f t="shared" ref="J5:J19" si="0">IFERROR(VALUE(LEFT(F5,FIND("/",F5)-1))-VALUE(LEFT(B5,FIND("/",B5)-1)),"N/A")</f>
        <v>0</v>
      </c>
    </row>
    <row r="6" spans="1:10" ht="17.25" customHeight="1">
      <c r="A6" t="s">
        <v>23</v>
      </c>
      <c r="B6" t="s">
        <v>24</v>
      </c>
      <c r="C6" s="31">
        <v>0</v>
      </c>
      <c r="D6" s="32">
        <v>9.6</v>
      </c>
      <c r="E6" s="33">
        <v>9.7674999999999997E-4</v>
      </c>
      <c r="F6" t="s">
        <v>24</v>
      </c>
      <c r="G6" s="31">
        <v>0</v>
      </c>
      <c r="H6" s="32">
        <v>10.8</v>
      </c>
      <c r="I6" s="33">
        <v>1.573E-3</v>
      </c>
      <c r="J6" s="34">
        <f t="shared" si="0"/>
        <v>0</v>
      </c>
    </row>
    <row r="7" spans="1:10" ht="17.25" customHeight="1">
      <c r="A7" t="s">
        <v>25</v>
      </c>
      <c r="B7" t="s">
        <v>24</v>
      </c>
      <c r="C7" s="31">
        <v>0</v>
      </c>
      <c r="D7" s="32">
        <v>10.5</v>
      </c>
      <c r="E7" s="33">
        <v>6.1487499999999997E-4</v>
      </c>
      <c r="F7" t="s">
        <v>24</v>
      </c>
      <c r="G7" s="31">
        <v>0</v>
      </c>
      <c r="H7" s="32">
        <v>9.9</v>
      </c>
      <c r="I7" s="33">
        <v>8.5997500000000002E-4</v>
      </c>
      <c r="J7" s="34">
        <f t="shared" si="0"/>
        <v>0</v>
      </c>
    </row>
    <row r="8" spans="1:10" ht="17.25" customHeight="1">
      <c r="A8" t="s">
        <v>26</v>
      </c>
      <c r="B8" t="s">
        <v>27</v>
      </c>
      <c r="C8" s="31">
        <v>0</v>
      </c>
      <c r="D8" s="32">
        <v>10.8</v>
      </c>
      <c r="E8" s="33">
        <v>9.76125E-4</v>
      </c>
      <c r="F8" t="s">
        <v>22</v>
      </c>
      <c r="G8" s="31">
        <v>1</v>
      </c>
      <c r="H8" s="32">
        <v>11.1</v>
      </c>
      <c r="I8" s="33">
        <v>4.5031749999999999E-3</v>
      </c>
      <c r="J8" s="34">
        <f t="shared" si="0"/>
        <v>1</v>
      </c>
    </row>
    <row r="9" spans="1:10" ht="17.25" customHeight="1">
      <c r="A9" t="s">
        <v>28</v>
      </c>
      <c r="B9" t="s">
        <v>27</v>
      </c>
      <c r="C9" s="31">
        <v>0</v>
      </c>
      <c r="D9" s="32">
        <v>10.6</v>
      </c>
      <c r="E9" s="33">
        <v>2.2138750000000001E-3</v>
      </c>
      <c r="F9" t="s">
        <v>24</v>
      </c>
      <c r="G9" s="31">
        <v>1</v>
      </c>
      <c r="H9" s="32">
        <v>11.5</v>
      </c>
      <c r="I9" s="33">
        <v>9.5182249999999999E-3</v>
      </c>
      <c r="J9" s="34">
        <f t="shared" si="0"/>
        <v>2</v>
      </c>
    </row>
    <row r="10" spans="1:10" ht="17.25" customHeight="1">
      <c r="A10" t="s">
        <v>10</v>
      </c>
      <c r="B10" t="s">
        <v>11</v>
      </c>
      <c r="C10" s="31">
        <v>0</v>
      </c>
      <c r="D10" s="32">
        <v>14.7</v>
      </c>
      <c r="E10" s="33">
        <v>1.5922499999999999E-3</v>
      </c>
      <c r="F10" t="s">
        <v>13</v>
      </c>
      <c r="G10" s="31">
        <v>0</v>
      </c>
      <c r="H10" s="32">
        <v>15.1</v>
      </c>
      <c r="I10" s="33">
        <v>2.5918999999999998E-3</v>
      </c>
      <c r="J10" s="34">
        <f t="shared" si="0"/>
        <v>-1</v>
      </c>
    </row>
    <row r="11" spans="1:10" ht="17.25" customHeight="1">
      <c r="A11" t="s">
        <v>12</v>
      </c>
      <c r="B11" t="s">
        <v>13</v>
      </c>
      <c r="C11" s="31">
        <v>0</v>
      </c>
      <c r="D11" s="32">
        <v>10.199999999999999</v>
      </c>
      <c r="E11" s="33">
        <v>1.2542499999999999E-3</v>
      </c>
      <c r="F11" t="s">
        <v>13</v>
      </c>
      <c r="G11" s="31">
        <v>0</v>
      </c>
      <c r="H11" s="32">
        <v>10.8</v>
      </c>
      <c r="I11" s="33">
        <v>1.892E-3</v>
      </c>
      <c r="J11" s="34">
        <f t="shared" si="0"/>
        <v>0</v>
      </c>
    </row>
    <row r="12" spans="1:10" ht="17.25" customHeight="1">
      <c r="A12" t="s">
        <v>14</v>
      </c>
      <c r="B12" t="s">
        <v>11</v>
      </c>
      <c r="C12" s="31">
        <v>0</v>
      </c>
      <c r="D12" s="32">
        <v>11.8</v>
      </c>
      <c r="E12" s="33">
        <v>1.6117499999999999E-3</v>
      </c>
      <c r="F12" t="s">
        <v>11</v>
      </c>
      <c r="G12" s="31">
        <v>0</v>
      </c>
      <c r="H12" s="32">
        <v>12.1</v>
      </c>
      <c r="I12" s="33">
        <v>2.6134000000000001E-3</v>
      </c>
      <c r="J12" s="34">
        <f t="shared" si="0"/>
        <v>0</v>
      </c>
    </row>
    <row r="13" spans="1:10" ht="17.25" customHeight="1">
      <c r="A13" t="s">
        <v>15</v>
      </c>
      <c r="B13" t="s">
        <v>16</v>
      </c>
      <c r="C13" s="31">
        <v>0</v>
      </c>
      <c r="D13" s="32">
        <v>11.4</v>
      </c>
      <c r="E13" s="33">
        <v>1.621E-3</v>
      </c>
      <c r="F13" t="s">
        <v>17</v>
      </c>
      <c r="G13" s="31">
        <v>1</v>
      </c>
      <c r="H13" s="32">
        <v>12.1</v>
      </c>
      <c r="I13" s="33">
        <v>7.3582999999999999E-3</v>
      </c>
      <c r="J13" s="34">
        <f t="shared" si="0"/>
        <v>2</v>
      </c>
    </row>
    <row r="14" spans="1:10" ht="17.25" customHeight="1">
      <c r="A14" t="s">
        <v>18</v>
      </c>
      <c r="B14" t="s">
        <v>13</v>
      </c>
      <c r="C14" s="31">
        <v>0</v>
      </c>
      <c r="D14" s="32">
        <v>11.9</v>
      </c>
      <c r="E14" s="33">
        <v>1.8866250000000001E-3</v>
      </c>
      <c r="F14" t="s">
        <v>11</v>
      </c>
      <c r="G14" s="31">
        <v>1</v>
      </c>
      <c r="H14" s="32">
        <v>13.5</v>
      </c>
      <c r="I14" s="33">
        <v>7.5088250000000002E-3</v>
      </c>
      <c r="J14" s="34">
        <f t="shared" si="0"/>
        <v>1</v>
      </c>
    </row>
    <row r="15" spans="1:10" ht="17.25" customHeight="1">
      <c r="A15" t="s">
        <v>30</v>
      </c>
      <c r="B15" t="s">
        <v>31</v>
      </c>
      <c r="C15" s="31">
        <v>0</v>
      </c>
      <c r="D15" s="32">
        <v>13.9</v>
      </c>
      <c r="E15" s="33">
        <v>2.2463750000000001E-3</v>
      </c>
      <c r="F15" t="s">
        <v>32</v>
      </c>
      <c r="G15" s="31">
        <v>1</v>
      </c>
      <c r="H15" s="32">
        <v>15.8</v>
      </c>
      <c r="I15" s="33">
        <v>9.493975E-3</v>
      </c>
      <c r="J15" s="34">
        <f t="shared" si="0"/>
        <v>3</v>
      </c>
    </row>
    <row r="16" spans="1:10" ht="17.25" customHeight="1">
      <c r="A16" t="s">
        <v>33</v>
      </c>
      <c r="B16" t="s">
        <v>34</v>
      </c>
      <c r="C16" s="31">
        <v>0</v>
      </c>
      <c r="D16" s="32">
        <v>13.4</v>
      </c>
      <c r="E16" s="33">
        <v>2.7671250000000001E-3</v>
      </c>
      <c r="F16" t="s">
        <v>34</v>
      </c>
      <c r="G16" s="31">
        <v>0</v>
      </c>
      <c r="H16" s="32">
        <v>13.7</v>
      </c>
      <c r="I16" s="33">
        <v>4.6906250000000003E-3</v>
      </c>
      <c r="J16" s="34">
        <f t="shared" si="0"/>
        <v>0</v>
      </c>
    </row>
    <row r="17" spans="1:10" ht="17.25" customHeight="1">
      <c r="A17" t="s">
        <v>35</v>
      </c>
      <c r="B17" t="s">
        <v>36</v>
      </c>
      <c r="C17" s="31">
        <v>1</v>
      </c>
      <c r="D17" s="32">
        <v>23.4</v>
      </c>
      <c r="E17" s="33">
        <v>1.3198125E-2</v>
      </c>
      <c r="F17" t="s">
        <v>36</v>
      </c>
      <c r="G17" s="31">
        <v>3</v>
      </c>
      <c r="H17" s="32">
        <v>27.9</v>
      </c>
      <c r="I17" s="33">
        <v>4.3782124999999998E-2</v>
      </c>
      <c r="J17" s="34">
        <f t="shared" si="0"/>
        <v>0</v>
      </c>
    </row>
    <row r="18" spans="1:10" ht="17.25" customHeight="1">
      <c r="A18" t="s">
        <v>37</v>
      </c>
      <c r="B18" t="s">
        <v>34</v>
      </c>
      <c r="C18" s="31">
        <v>0</v>
      </c>
      <c r="D18" s="32">
        <v>13.4</v>
      </c>
      <c r="E18" s="33">
        <v>2.6294999999999999E-3</v>
      </c>
      <c r="F18" t="s">
        <v>34</v>
      </c>
      <c r="G18" s="31">
        <v>0</v>
      </c>
      <c r="H18" s="32">
        <v>13.9</v>
      </c>
      <c r="I18" s="33">
        <v>5.5865999999999997E-3</v>
      </c>
      <c r="J18" s="34">
        <f t="shared" si="0"/>
        <v>0</v>
      </c>
    </row>
    <row r="19" spans="1:10" ht="17.25" customHeight="1">
      <c r="A19" t="s">
        <v>38</v>
      </c>
      <c r="B19" t="s">
        <v>39</v>
      </c>
      <c r="C19" s="31">
        <v>5</v>
      </c>
      <c r="D19" s="32">
        <v>43.1</v>
      </c>
      <c r="E19" s="33">
        <v>4.8179525000000001E-2</v>
      </c>
      <c r="F19" t="s">
        <v>34</v>
      </c>
      <c r="G19" s="31">
        <v>5</v>
      </c>
      <c r="H19" s="32">
        <v>39.299999999999997</v>
      </c>
      <c r="I19" s="33">
        <v>6.8235224999999997E-2</v>
      </c>
      <c r="J19" s="34" t="str">
        <f t="shared" si="0"/>
        <v>N/A</v>
      </c>
    </row>
    <row r="20" spans="1:10" ht="28.5" customHeight="1">
      <c r="A20" t="s">
        <v>19</v>
      </c>
      <c r="B20" t="s">
        <v>40</v>
      </c>
      <c r="C20" s="31">
        <f>SUM(C5:C19)</f>
        <v>6</v>
      </c>
      <c r="D20" s="32">
        <f>SUM(D5:D19)</f>
        <v>220.10000000000002</v>
      </c>
      <c r="E20" s="33">
        <f>SUM(E5:E19)</f>
        <v>8.3897650000000004E-2</v>
      </c>
      <c r="F20" s="35" t="s">
        <v>58</v>
      </c>
      <c r="G20" s="31">
        <f>SUM(G5:G19)</f>
        <v>13</v>
      </c>
      <c r="H20" s="32">
        <f>SUM(H5:H19)</f>
        <v>230.3</v>
      </c>
      <c r="I20" s="33">
        <f>SUM(I5:I19)</f>
        <v>0.17356579999999999</v>
      </c>
      <c r="J20" s="34">
        <f>SUM(J5:J19)</f>
        <v>8</v>
      </c>
    </row>
  </sheetData>
  <mergeCells count="2">
    <mergeCell ref="A1:J1"/>
    <mergeCell ref="A2:J2"/>
  </mergeCells>
  <conditionalFormatting sqref="J5:J19">
    <cfRule type="cellIs" dxfId="28" priority="1" operator="greaterThan">
      <formula>0</formula>
    </cfRule>
    <cfRule type="cellIs" dxfId="27" priority="2" operator="lessThan">
      <formula>0</formula>
    </cfRule>
    <cfRule type="cellIs" dxfId="26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0"/>
  <sheetViews>
    <sheetView showGridLines="0" tabSelected="1" workbookViewId="0">
      <selection activeCell="E11" sqref="E11"/>
    </sheetView>
  </sheetViews>
  <sheetFormatPr defaultRowHeight="13.5"/>
  <cols>
    <col min="1" max="1" width="20" customWidth="1"/>
    <col min="2" max="2" width="22.5" customWidth="1"/>
    <col min="3" max="3" width="11.1875" customWidth="1"/>
    <col min="4" max="4" width="18.6875" customWidth="1"/>
    <col min="5" max="5" width="17.5" customWidth="1"/>
    <col min="6" max="6" width="31.1875" customWidth="1"/>
    <col min="7" max="7" width="11.1875" customWidth="1"/>
    <col min="8" max="8" width="18.6875" customWidth="1"/>
    <col min="9" max="9" width="17.5" customWidth="1"/>
    <col min="10" max="10" width="11.1875" customWidth="1"/>
  </cols>
  <sheetData>
    <row r="1" spans="1:10" ht="25.5" customHeight="1">
      <c r="A1" s="87" t="s">
        <v>74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40.5" customHeight="1">
      <c r="A2" s="88"/>
      <c r="B2" s="88"/>
      <c r="C2" s="88"/>
      <c r="D2" s="88"/>
      <c r="E2" s="88"/>
      <c r="F2" s="88"/>
      <c r="G2" s="88"/>
      <c r="H2" s="88"/>
      <c r="I2" s="88"/>
      <c r="J2" s="88"/>
    </row>
    <row r="3" spans="1:10" ht="10.5" customHeight="1"/>
    <row r="4" spans="1:10" ht="31.5" customHeight="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 ht="17.25" customHeight="1">
      <c r="A5" t="s">
        <v>21</v>
      </c>
      <c r="B5" t="s">
        <v>24</v>
      </c>
      <c r="C5" s="31">
        <v>0</v>
      </c>
      <c r="D5" s="32">
        <v>11.1</v>
      </c>
      <c r="E5" s="33">
        <v>2.8005E-3</v>
      </c>
      <c r="F5" t="s">
        <v>24</v>
      </c>
      <c r="G5" s="31">
        <v>0</v>
      </c>
      <c r="H5" s="32">
        <v>11.3</v>
      </c>
      <c r="I5" s="33">
        <v>3.3610000000000003E-3</v>
      </c>
      <c r="J5" s="34">
        <f t="shared" ref="J5:J19" si="0">IFERROR(VALUE(LEFT(F5,FIND("/",F5)-1))-VALUE(LEFT(B5,FIND("/",B5)-1)),"N/A")</f>
        <v>0</v>
      </c>
    </row>
    <row r="6" spans="1:10" ht="17.25" customHeight="1">
      <c r="A6" t="s">
        <v>23</v>
      </c>
      <c r="B6" t="s">
        <v>24</v>
      </c>
      <c r="C6" s="31">
        <v>0</v>
      </c>
      <c r="D6" s="32">
        <v>9.6999999999999993</v>
      </c>
      <c r="E6" s="33">
        <v>1.55025E-3</v>
      </c>
      <c r="F6" t="s">
        <v>24</v>
      </c>
      <c r="G6" s="31">
        <v>0</v>
      </c>
      <c r="H6" s="32">
        <v>10</v>
      </c>
      <c r="I6" s="33">
        <v>2.0588500000000001E-3</v>
      </c>
      <c r="J6" s="34">
        <f t="shared" si="0"/>
        <v>0</v>
      </c>
    </row>
    <row r="7" spans="1:10" ht="17.25" customHeight="1">
      <c r="A7" t="s">
        <v>25</v>
      </c>
      <c r="B7" t="s">
        <v>24</v>
      </c>
      <c r="C7" s="31">
        <v>0</v>
      </c>
      <c r="D7" s="32">
        <v>9.6999999999999993</v>
      </c>
      <c r="E7" s="33">
        <v>1.122E-3</v>
      </c>
      <c r="F7" t="s">
        <v>24</v>
      </c>
      <c r="G7" s="31">
        <v>0</v>
      </c>
      <c r="H7" s="32">
        <v>10.3</v>
      </c>
      <c r="I7" s="33">
        <v>1.3832E-3</v>
      </c>
      <c r="J7" s="34">
        <f t="shared" si="0"/>
        <v>0</v>
      </c>
    </row>
    <row r="8" spans="1:10" ht="17.25" customHeight="1">
      <c r="A8" t="s">
        <v>26</v>
      </c>
      <c r="B8" t="s">
        <v>24</v>
      </c>
      <c r="C8" s="31">
        <v>0</v>
      </c>
      <c r="D8" s="32">
        <v>11.1</v>
      </c>
      <c r="E8" s="33">
        <v>1.633125E-3</v>
      </c>
      <c r="F8" t="s">
        <v>24</v>
      </c>
      <c r="G8" s="31">
        <v>0</v>
      </c>
      <c r="H8" s="32">
        <v>10.9</v>
      </c>
      <c r="I8" s="33">
        <v>2.1851750000000001E-3</v>
      </c>
      <c r="J8" s="34">
        <f t="shared" si="0"/>
        <v>0</v>
      </c>
    </row>
    <row r="9" spans="1:10" ht="17.25" customHeight="1">
      <c r="A9" t="s">
        <v>28</v>
      </c>
      <c r="B9" t="s">
        <v>24</v>
      </c>
      <c r="C9" s="31">
        <v>0</v>
      </c>
      <c r="D9" s="32">
        <v>10.6</v>
      </c>
      <c r="E9" s="33">
        <v>2.2271249999999999E-3</v>
      </c>
      <c r="F9" t="s">
        <v>24</v>
      </c>
      <c r="G9" s="31">
        <v>0</v>
      </c>
      <c r="H9" s="32">
        <v>10.5</v>
      </c>
      <c r="I9" s="33">
        <v>2.8817249999999999E-3</v>
      </c>
      <c r="J9" s="34">
        <f t="shared" si="0"/>
        <v>0</v>
      </c>
    </row>
    <row r="10" spans="1:10" ht="17.25" customHeight="1">
      <c r="A10" t="s">
        <v>10</v>
      </c>
      <c r="B10" t="s">
        <v>11</v>
      </c>
      <c r="C10" s="31">
        <v>1</v>
      </c>
      <c r="D10" s="32">
        <v>22.6</v>
      </c>
      <c r="E10" s="33">
        <v>9.1376249999999999E-3</v>
      </c>
      <c r="F10" t="s">
        <v>11</v>
      </c>
      <c r="G10" s="31">
        <v>1</v>
      </c>
      <c r="H10" s="32">
        <v>22.5</v>
      </c>
      <c r="I10" s="33">
        <v>1.1451975E-2</v>
      </c>
      <c r="J10" s="34">
        <f t="shared" si="0"/>
        <v>0</v>
      </c>
    </row>
    <row r="11" spans="1:10" ht="17.25" customHeight="1">
      <c r="A11" t="s">
        <v>12</v>
      </c>
      <c r="B11" t="s">
        <v>11</v>
      </c>
      <c r="C11" s="31">
        <v>0</v>
      </c>
      <c r="D11" s="32">
        <v>10.4</v>
      </c>
      <c r="E11" s="33">
        <v>2.1288750000000001E-3</v>
      </c>
      <c r="F11" t="s">
        <v>11</v>
      </c>
      <c r="G11" s="31">
        <v>0</v>
      </c>
      <c r="H11" s="32">
        <v>10.5</v>
      </c>
      <c r="I11" s="33">
        <v>3.0221250000000001E-3</v>
      </c>
      <c r="J11" s="34">
        <f t="shared" si="0"/>
        <v>0</v>
      </c>
    </row>
    <row r="12" spans="1:10" ht="17.25" customHeight="1">
      <c r="A12" t="s">
        <v>14</v>
      </c>
      <c r="B12" t="s">
        <v>11</v>
      </c>
      <c r="C12" s="31">
        <v>0</v>
      </c>
      <c r="D12" s="32">
        <v>11.8</v>
      </c>
      <c r="E12" s="33">
        <v>3.047625E-3</v>
      </c>
      <c r="F12" t="s">
        <v>11</v>
      </c>
      <c r="G12" s="31">
        <v>0</v>
      </c>
      <c r="H12" s="32">
        <v>11.9</v>
      </c>
      <c r="I12" s="33">
        <v>4.0502749999999999E-3</v>
      </c>
      <c r="J12" s="34">
        <f t="shared" si="0"/>
        <v>0</v>
      </c>
    </row>
    <row r="13" spans="1:10" ht="17.25" customHeight="1">
      <c r="A13" t="s">
        <v>15</v>
      </c>
      <c r="B13" t="s">
        <v>43</v>
      </c>
      <c r="C13" s="31">
        <v>0</v>
      </c>
      <c r="D13" s="32">
        <v>12.1</v>
      </c>
      <c r="E13" s="33">
        <v>3.4848750000000001E-3</v>
      </c>
      <c r="F13" t="s">
        <v>29</v>
      </c>
      <c r="G13" s="31">
        <v>1</v>
      </c>
      <c r="H13" s="32">
        <v>12.5</v>
      </c>
      <c r="I13" s="33">
        <v>1.2066125E-2</v>
      </c>
      <c r="J13" s="34">
        <f t="shared" si="0"/>
        <v>2</v>
      </c>
    </row>
    <row r="14" spans="1:10" ht="17.25" customHeight="1">
      <c r="A14" t="s">
        <v>18</v>
      </c>
      <c r="B14" t="s">
        <v>11</v>
      </c>
      <c r="C14" s="31">
        <v>0</v>
      </c>
      <c r="D14" s="32">
        <v>12.9</v>
      </c>
      <c r="E14" s="33">
        <v>3.2523750000000001E-3</v>
      </c>
      <c r="F14" t="s">
        <v>11</v>
      </c>
      <c r="G14" s="31">
        <v>0</v>
      </c>
      <c r="H14" s="32">
        <v>13</v>
      </c>
      <c r="I14" s="33">
        <v>4.2909250000000001E-3</v>
      </c>
      <c r="J14" s="34">
        <f t="shared" si="0"/>
        <v>0</v>
      </c>
    </row>
    <row r="15" spans="1:10" ht="17.25" customHeight="1">
      <c r="A15" t="s">
        <v>30</v>
      </c>
      <c r="B15" t="s">
        <v>32</v>
      </c>
      <c r="C15" s="31">
        <v>0</v>
      </c>
      <c r="D15" s="32">
        <v>16</v>
      </c>
      <c r="E15" s="33">
        <v>4.0177499999999996E-3</v>
      </c>
      <c r="F15" t="s">
        <v>48</v>
      </c>
      <c r="G15" s="31">
        <v>1</v>
      </c>
      <c r="H15" s="32">
        <v>16.8</v>
      </c>
      <c r="I15" s="33">
        <v>1.5890000000000001E-2</v>
      </c>
      <c r="J15" s="34">
        <f t="shared" si="0"/>
        <v>1</v>
      </c>
    </row>
    <row r="16" spans="1:10" ht="17.25" customHeight="1">
      <c r="A16" t="s">
        <v>33</v>
      </c>
      <c r="B16" t="s">
        <v>44</v>
      </c>
      <c r="C16" s="31">
        <v>0</v>
      </c>
      <c r="D16" s="32">
        <v>13.3</v>
      </c>
      <c r="E16" s="33">
        <v>6.0341250000000004E-3</v>
      </c>
      <c r="F16" t="s">
        <v>48</v>
      </c>
      <c r="G16" s="31">
        <v>0</v>
      </c>
      <c r="H16" s="32">
        <v>14.2</v>
      </c>
      <c r="I16" s="33">
        <v>8.568725000000001E-3</v>
      </c>
      <c r="J16" s="34">
        <f t="shared" si="0"/>
        <v>2</v>
      </c>
    </row>
    <row r="17" spans="1:10" ht="17.25" customHeight="1">
      <c r="A17" t="s">
        <v>35</v>
      </c>
      <c r="B17" t="s">
        <v>36</v>
      </c>
      <c r="C17" s="31">
        <v>0</v>
      </c>
      <c r="D17" s="32">
        <v>13.7</v>
      </c>
      <c r="E17" s="33">
        <v>8.2196249999999995E-3</v>
      </c>
      <c r="F17" t="s">
        <v>34</v>
      </c>
      <c r="G17" s="31">
        <v>1</v>
      </c>
      <c r="H17" s="32">
        <v>16.3</v>
      </c>
      <c r="I17" s="33">
        <v>2.9724124999999997E-2</v>
      </c>
      <c r="J17" s="34">
        <f t="shared" si="0"/>
        <v>3</v>
      </c>
    </row>
    <row r="18" spans="1:10" ht="17.25" customHeight="1">
      <c r="A18" t="s">
        <v>37</v>
      </c>
      <c r="B18" t="s">
        <v>34</v>
      </c>
      <c r="C18" s="31">
        <v>0</v>
      </c>
      <c r="D18" s="32">
        <v>13.1</v>
      </c>
      <c r="E18" s="33">
        <v>6.4616250000000004E-3</v>
      </c>
      <c r="F18" t="s">
        <v>32</v>
      </c>
      <c r="G18" s="31">
        <v>1</v>
      </c>
      <c r="H18" s="32">
        <v>14.2</v>
      </c>
      <c r="I18" s="33">
        <v>1.8998075E-2</v>
      </c>
      <c r="J18" s="34">
        <f t="shared" si="0"/>
        <v>2</v>
      </c>
    </row>
    <row r="19" spans="1:10" ht="17.25" customHeight="1">
      <c r="A19" t="s">
        <v>38</v>
      </c>
      <c r="B19" t="s">
        <v>45</v>
      </c>
      <c r="C19" s="31">
        <v>0</v>
      </c>
      <c r="D19" s="32">
        <v>13.7</v>
      </c>
      <c r="E19" s="33">
        <v>8.7888749999999998E-3</v>
      </c>
      <c r="F19" t="s">
        <v>44</v>
      </c>
      <c r="G19" s="31">
        <v>1</v>
      </c>
      <c r="H19" s="32">
        <v>16.899999999999999</v>
      </c>
      <c r="I19" s="33">
        <v>2.9094374999999999E-2</v>
      </c>
      <c r="J19" s="34">
        <f t="shared" si="0"/>
        <v>3</v>
      </c>
    </row>
    <row r="20" spans="1:10" ht="28.5" customHeight="1">
      <c r="A20" t="s">
        <v>19</v>
      </c>
      <c r="B20" t="s">
        <v>41</v>
      </c>
      <c r="C20" s="31">
        <f>SUM(C5:C19)</f>
        <v>1</v>
      </c>
      <c r="D20" s="32">
        <f>SUM(D5:D19)</f>
        <v>191.79999999999998</v>
      </c>
      <c r="E20" s="33">
        <f>SUM(E5:E19)</f>
        <v>6.3906375000000001E-2</v>
      </c>
      <c r="F20" s="35" t="s">
        <v>49</v>
      </c>
      <c r="G20" s="31">
        <f>SUM(G5:G19)</f>
        <v>6</v>
      </c>
      <c r="H20" s="32">
        <f>SUM(H5:H19)</f>
        <v>201.8</v>
      </c>
      <c r="I20" s="33">
        <f>SUM(I5:I19)</f>
        <v>0.149026675</v>
      </c>
      <c r="J20" s="34">
        <f>SUM(J5:J19)</f>
        <v>13</v>
      </c>
    </row>
  </sheetData>
  <mergeCells count="2">
    <mergeCell ref="A1:J1"/>
    <mergeCell ref="A2:J2"/>
  </mergeCells>
  <conditionalFormatting sqref="J5:J19">
    <cfRule type="cellIs" dxfId="25" priority="1" operator="greaterThan">
      <formula>0</formula>
    </cfRule>
    <cfRule type="cellIs" dxfId="24" priority="2" operator="lessThan">
      <formula>0</formula>
    </cfRule>
    <cfRule type="cellIs" dxfId="23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0"/>
  <sheetViews>
    <sheetView showGridLines="0" workbookViewId="0">
      <selection activeCell="A2" sqref="A2:J2"/>
    </sheetView>
  </sheetViews>
  <sheetFormatPr defaultRowHeight="13.5"/>
  <cols>
    <col min="1" max="1" width="20" customWidth="1"/>
    <col min="2" max="2" width="22.5" customWidth="1"/>
    <col min="3" max="3" width="11.1875" customWidth="1"/>
    <col min="4" max="4" width="18.6875" customWidth="1"/>
    <col min="5" max="5" width="17.5" customWidth="1"/>
    <col min="6" max="6" width="31.1875" customWidth="1"/>
    <col min="7" max="7" width="11.1875" customWidth="1"/>
    <col min="8" max="8" width="18.6875" customWidth="1"/>
    <col min="9" max="9" width="17.5" customWidth="1"/>
    <col min="10" max="10" width="11.1875" customWidth="1"/>
  </cols>
  <sheetData>
    <row r="1" spans="1:10" ht="25.5" customHeight="1">
      <c r="A1" s="87" t="s">
        <v>75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40.5" customHeight="1">
      <c r="A2" s="88"/>
      <c r="B2" s="88"/>
      <c r="C2" s="88"/>
      <c r="D2" s="88"/>
      <c r="E2" s="88"/>
      <c r="F2" s="88"/>
      <c r="G2" s="88"/>
      <c r="H2" s="88"/>
      <c r="I2" s="88"/>
      <c r="J2" s="88"/>
    </row>
    <row r="3" spans="1:10" ht="10.5" customHeight="1"/>
    <row r="4" spans="1:10" ht="31.5" customHeight="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 ht="17.25" customHeight="1">
      <c r="A5" t="s">
        <v>21</v>
      </c>
      <c r="B5" t="s">
        <v>22</v>
      </c>
      <c r="C5" s="31">
        <v>0</v>
      </c>
      <c r="D5" s="32">
        <v>13.8</v>
      </c>
      <c r="E5" s="33">
        <v>8.8265499999999998E-4</v>
      </c>
      <c r="F5" t="s">
        <v>22</v>
      </c>
      <c r="G5" s="31">
        <v>0</v>
      </c>
      <c r="H5" s="32">
        <v>14.1</v>
      </c>
      <c r="I5" s="33">
        <v>7.0371549999999998E-3</v>
      </c>
      <c r="J5" s="34">
        <f t="shared" ref="J5:J19" si="0">IFERROR(VALUE(LEFT(F5,FIND("/",F5)-1))-VALUE(LEFT(B5,FIND("/",B5)-1)),"N/A")</f>
        <v>0</v>
      </c>
    </row>
    <row r="6" spans="1:10" ht="17.25" customHeight="1">
      <c r="A6" t="s">
        <v>23</v>
      </c>
      <c r="B6" t="s">
        <v>24</v>
      </c>
      <c r="C6" s="31">
        <v>0</v>
      </c>
      <c r="D6" s="32">
        <v>11.4</v>
      </c>
      <c r="E6" s="33">
        <v>9.7347999999999998E-4</v>
      </c>
      <c r="F6" t="s">
        <v>24</v>
      </c>
      <c r="G6" s="31">
        <v>0</v>
      </c>
      <c r="H6" s="32">
        <v>11.4</v>
      </c>
      <c r="I6" s="33">
        <v>4.2052299999999999E-3</v>
      </c>
      <c r="J6" s="34">
        <f t="shared" si="0"/>
        <v>0</v>
      </c>
    </row>
    <row r="7" spans="1:10" ht="17.25" customHeight="1">
      <c r="A7" t="s">
        <v>25</v>
      </c>
      <c r="B7" t="s">
        <v>24</v>
      </c>
      <c r="C7" s="31">
        <v>0</v>
      </c>
      <c r="D7" s="32">
        <v>10.3</v>
      </c>
      <c r="E7" s="33">
        <v>3.18215E-4</v>
      </c>
      <c r="F7" t="s">
        <v>24</v>
      </c>
      <c r="G7" s="31">
        <v>0</v>
      </c>
      <c r="H7" s="32">
        <v>10.5</v>
      </c>
      <c r="I7" s="33">
        <v>2.839715E-3</v>
      </c>
      <c r="J7" s="34">
        <f t="shared" si="0"/>
        <v>0</v>
      </c>
    </row>
    <row r="8" spans="1:10" ht="17.25" customHeight="1">
      <c r="A8" t="s">
        <v>26</v>
      </c>
      <c r="B8" t="s">
        <v>22</v>
      </c>
      <c r="C8" s="31">
        <v>0</v>
      </c>
      <c r="D8" s="32">
        <v>12.1</v>
      </c>
      <c r="E8" s="33">
        <v>8.46085E-4</v>
      </c>
      <c r="F8" t="s">
        <v>22</v>
      </c>
      <c r="G8" s="31">
        <v>0</v>
      </c>
      <c r="H8" s="32">
        <v>12.4</v>
      </c>
      <c r="I8" s="33">
        <v>4.7408350000000005E-3</v>
      </c>
      <c r="J8" s="34">
        <f t="shared" si="0"/>
        <v>0</v>
      </c>
    </row>
    <row r="9" spans="1:10" ht="17.25" customHeight="1">
      <c r="A9" t="s">
        <v>28</v>
      </c>
      <c r="B9" t="s">
        <v>24</v>
      </c>
      <c r="C9" s="31">
        <v>0</v>
      </c>
      <c r="D9" s="32">
        <v>12.5</v>
      </c>
      <c r="E9" s="33">
        <v>8.3321000000000003E-4</v>
      </c>
      <c r="F9" t="s">
        <v>24</v>
      </c>
      <c r="G9" s="31">
        <v>0</v>
      </c>
      <c r="H9" s="32">
        <v>12</v>
      </c>
      <c r="I9" s="33">
        <v>5.6017100000000002E-3</v>
      </c>
      <c r="J9" s="34">
        <f t="shared" si="0"/>
        <v>0</v>
      </c>
    </row>
    <row r="10" spans="1:10" ht="17.25" customHeight="1">
      <c r="A10" t="s">
        <v>10</v>
      </c>
      <c r="B10" t="s">
        <v>57</v>
      </c>
      <c r="C10" s="31">
        <v>0</v>
      </c>
      <c r="D10" s="32">
        <v>14.2</v>
      </c>
      <c r="E10" s="33">
        <v>1.207E-3</v>
      </c>
      <c r="F10" t="s">
        <v>13</v>
      </c>
      <c r="G10" s="31">
        <v>1</v>
      </c>
      <c r="H10" s="32">
        <v>18</v>
      </c>
      <c r="I10" s="33">
        <v>2.9304119999999999E-2</v>
      </c>
      <c r="J10" s="34">
        <f t="shared" si="0"/>
        <v>1</v>
      </c>
    </row>
    <row r="11" spans="1:10" ht="17.25" customHeight="1">
      <c r="A11" t="s">
        <v>12</v>
      </c>
      <c r="B11" t="s">
        <v>13</v>
      </c>
      <c r="C11" s="31">
        <v>0</v>
      </c>
      <c r="D11" s="32">
        <v>12.2</v>
      </c>
      <c r="E11" s="33">
        <v>7.8353500000000003E-4</v>
      </c>
      <c r="F11" t="s">
        <v>11</v>
      </c>
      <c r="G11" s="31">
        <v>2</v>
      </c>
      <c r="H11" s="32">
        <v>18.2</v>
      </c>
      <c r="I11" s="33">
        <v>2.3828835E-2</v>
      </c>
      <c r="J11" s="34">
        <f t="shared" si="0"/>
        <v>1</v>
      </c>
    </row>
    <row r="12" spans="1:10" ht="17.25" customHeight="1">
      <c r="A12" t="s">
        <v>14</v>
      </c>
      <c r="B12" t="s">
        <v>13</v>
      </c>
      <c r="C12" s="31">
        <v>0</v>
      </c>
      <c r="D12" s="32">
        <v>13.7</v>
      </c>
      <c r="E12" s="33">
        <v>8.74565E-4</v>
      </c>
      <c r="F12" t="s">
        <v>13</v>
      </c>
      <c r="G12" s="31">
        <v>0</v>
      </c>
      <c r="H12" s="32">
        <v>14.1</v>
      </c>
      <c r="I12" s="33">
        <v>1.1989565000000001E-2</v>
      </c>
      <c r="J12" s="34">
        <f t="shared" si="0"/>
        <v>0</v>
      </c>
    </row>
    <row r="13" spans="1:10" ht="17.25" customHeight="1">
      <c r="A13" t="s">
        <v>15</v>
      </c>
      <c r="B13" t="s">
        <v>29</v>
      </c>
      <c r="C13" s="31">
        <v>0</v>
      </c>
      <c r="D13" s="32">
        <v>14</v>
      </c>
      <c r="E13" s="33">
        <v>1.1982550000000001E-3</v>
      </c>
      <c r="F13" t="s">
        <v>29</v>
      </c>
      <c r="G13" s="31">
        <v>0</v>
      </c>
      <c r="H13" s="32">
        <v>14.1</v>
      </c>
      <c r="I13" s="33">
        <v>1.1150755E-2</v>
      </c>
      <c r="J13" s="34">
        <f t="shared" si="0"/>
        <v>0</v>
      </c>
    </row>
    <row r="14" spans="1:10" ht="17.25" customHeight="1">
      <c r="A14" t="s">
        <v>18</v>
      </c>
      <c r="B14" t="s">
        <v>11</v>
      </c>
      <c r="C14" s="31">
        <v>0</v>
      </c>
      <c r="D14" s="32">
        <v>14.6</v>
      </c>
      <c r="E14" s="33">
        <v>1.1735949999999999E-3</v>
      </c>
      <c r="F14" t="s">
        <v>11</v>
      </c>
      <c r="G14" s="31">
        <v>0</v>
      </c>
      <c r="H14" s="32">
        <v>15.1</v>
      </c>
      <c r="I14" s="33">
        <v>1.0925845E-2</v>
      </c>
      <c r="J14" s="34">
        <f t="shared" si="0"/>
        <v>0</v>
      </c>
    </row>
    <row r="15" spans="1:10" ht="17.25" customHeight="1">
      <c r="A15" t="s">
        <v>30</v>
      </c>
      <c r="B15" t="s">
        <v>32</v>
      </c>
      <c r="C15" s="31">
        <v>0</v>
      </c>
      <c r="D15" s="32">
        <v>15.1</v>
      </c>
      <c r="E15" s="33">
        <v>1.1993500000000001E-3</v>
      </c>
      <c r="F15" t="s">
        <v>48</v>
      </c>
      <c r="G15" s="31">
        <v>1</v>
      </c>
      <c r="H15" s="32">
        <v>21.9</v>
      </c>
      <c r="I15" s="33">
        <v>2.4920200000000003E-2</v>
      </c>
      <c r="J15" s="34">
        <f t="shared" si="0"/>
        <v>1</v>
      </c>
    </row>
    <row r="16" spans="1:10" ht="17.25" customHeight="1">
      <c r="A16" t="s">
        <v>33</v>
      </c>
      <c r="B16" t="s">
        <v>44</v>
      </c>
      <c r="C16" s="31">
        <v>0</v>
      </c>
      <c r="D16" s="32">
        <v>16.3</v>
      </c>
      <c r="E16" s="33">
        <v>1.3439649999999999E-3</v>
      </c>
      <c r="F16" t="s">
        <v>44</v>
      </c>
      <c r="G16" s="31">
        <v>0</v>
      </c>
      <c r="H16" s="32">
        <v>17.899999999999999</v>
      </c>
      <c r="I16" s="33">
        <v>4.6859965000000003E-2</v>
      </c>
      <c r="J16" s="34">
        <f t="shared" si="0"/>
        <v>0</v>
      </c>
    </row>
    <row r="17" spans="1:10" ht="17.25" customHeight="1">
      <c r="A17" t="s">
        <v>35</v>
      </c>
      <c r="B17" t="s">
        <v>34</v>
      </c>
      <c r="C17" s="31">
        <v>0</v>
      </c>
      <c r="D17" s="32">
        <v>21.1</v>
      </c>
      <c r="E17" s="33">
        <v>1.6313600000000001E-3</v>
      </c>
      <c r="F17" t="s">
        <v>44</v>
      </c>
      <c r="G17" s="31">
        <v>1</v>
      </c>
      <c r="H17" s="32">
        <v>28.4</v>
      </c>
      <c r="I17" s="33">
        <v>8.0213729999999997E-2</v>
      </c>
      <c r="J17" s="34">
        <f t="shared" si="0"/>
        <v>1</v>
      </c>
    </row>
    <row r="18" spans="1:10" ht="17.25" customHeight="1">
      <c r="A18" t="s">
        <v>37</v>
      </c>
      <c r="B18" t="s">
        <v>31</v>
      </c>
      <c r="C18" s="31">
        <v>0</v>
      </c>
      <c r="D18" s="32">
        <v>19.600000000000001</v>
      </c>
      <c r="E18" s="33">
        <v>1.41445E-3</v>
      </c>
      <c r="F18" t="s">
        <v>31</v>
      </c>
      <c r="G18" s="31">
        <v>0</v>
      </c>
      <c r="H18" s="32">
        <v>20.8</v>
      </c>
      <c r="I18" s="33">
        <v>3.7226200000000001E-2</v>
      </c>
      <c r="J18" s="34">
        <f t="shared" si="0"/>
        <v>0</v>
      </c>
    </row>
    <row r="19" spans="1:10" ht="17.25" customHeight="1">
      <c r="A19" t="s">
        <v>38</v>
      </c>
      <c r="B19" t="s">
        <v>45</v>
      </c>
      <c r="C19" s="31">
        <v>1</v>
      </c>
      <c r="D19" s="32">
        <v>32.299999999999997</v>
      </c>
      <c r="E19" s="33">
        <v>5.3559599999999999E-3</v>
      </c>
      <c r="F19" t="s">
        <v>31</v>
      </c>
      <c r="G19" s="31">
        <v>1</v>
      </c>
      <c r="H19" s="32">
        <v>26.8</v>
      </c>
      <c r="I19" s="33">
        <v>8.6687650000000005E-2</v>
      </c>
      <c r="J19" s="34">
        <f t="shared" si="0"/>
        <v>1</v>
      </c>
    </row>
    <row r="20" spans="1:10" ht="28.5" customHeight="1">
      <c r="A20" t="s">
        <v>19</v>
      </c>
      <c r="B20" t="s">
        <v>58</v>
      </c>
      <c r="C20" s="31">
        <f>SUM(C5:C19)</f>
        <v>1</v>
      </c>
      <c r="D20" s="32">
        <f>SUM(D5:D19)</f>
        <v>233.2</v>
      </c>
      <c r="E20" s="33">
        <f>SUM(E5:E19)</f>
        <v>2.003568E-2</v>
      </c>
      <c r="F20" s="35" t="s">
        <v>59</v>
      </c>
      <c r="G20" s="31">
        <f>SUM(G5:G19)</f>
        <v>6</v>
      </c>
      <c r="H20" s="32">
        <f>SUM(H5:H19)</f>
        <v>255.70000000000005</v>
      </c>
      <c r="I20" s="33">
        <f>SUM(I5:I19)</f>
        <v>0.38753151000000002</v>
      </c>
      <c r="J20" s="34">
        <f>SUM(J5:J19)</f>
        <v>5</v>
      </c>
    </row>
  </sheetData>
  <mergeCells count="2">
    <mergeCell ref="A1:J1"/>
    <mergeCell ref="A2:J2"/>
  </mergeCells>
  <conditionalFormatting sqref="J5:J19">
    <cfRule type="cellIs" dxfId="22" priority="1" operator="greaterThan">
      <formula>0</formula>
    </cfRule>
    <cfRule type="cellIs" dxfId="21" priority="2" operator="lessThan">
      <formula>0</formula>
    </cfRule>
    <cfRule type="cellIs" dxfId="20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0"/>
  <sheetViews>
    <sheetView showGridLines="0" workbookViewId="0">
      <selection activeCell="A2" sqref="A2:J2"/>
    </sheetView>
  </sheetViews>
  <sheetFormatPr defaultRowHeight="13.5"/>
  <cols>
    <col min="1" max="1" width="20" customWidth="1"/>
    <col min="2" max="2" width="22.5" customWidth="1"/>
    <col min="3" max="3" width="11.1875" customWidth="1"/>
    <col min="4" max="4" width="18.6875" customWidth="1"/>
    <col min="5" max="5" width="17.5" customWidth="1"/>
    <col min="6" max="6" width="38.6875" customWidth="1"/>
    <col min="7" max="7" width="11.1875" customWidth="1"/>
    <col min="8" max="8" width="18.6875" customWidth="1"/>
    <col min="9" max="9" width="17.5" customWidth="1"/>
    <col min="10" max="10" width="11.1875" customWidth="1"/>
  </cols>
  <sheetData>
    <row r="1" spans="1:10" ht="25.5" customHeight="1">
      <c r="A1" s="87" t="s">
        <v>76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40.5" customHeight="1">
      <c r="A2" s="88"/>
      <c r="B2" s="88"/>
      <c r="C2" s="88"/>
      <c r="D2" s="88"/>
      <c r="E2" s="88"/>
      <c r="F2" s="88"/>
      <c r="G2" s="88"/>
      <c r="H2" s="88"/>
      <c r="I2" s="88"/>
      <c r="J2" s="88"/>
    </row>
    <row r="3" spans="1:10" ht="10.5" customHeight="1"/>
    <row r="4" spans="1:10" ht="31.5" customHeight="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 ht="17.25" customHeight="1">
      <c r="A5" t="s">
        <v>21</v>
      </c>
      <c r="B5" t="s">
        <v>61</v>
      </c>
      <c r="C5" s="31">
        <v>3</v>
      </c>
      <c r="D5" s="32">
        <v>32.799999999999997</v>
      </c>
      <c r="E5" s="33">
        <v>1.85695E-3</v>
      </c>
      <c r="F5" t="s">
        <v>27</v>
      </c>
      <c r="G5" s="31">
        <v>2</v>
      </c>
      <c r="H5" s="32">
        <v>12.6</v>
      </c>
      <c r="I5" s="33">
        <v>2.7228699999999998E-2</v>
      </c>
      <c r="J5" s="34">
        <f t="shared" ref="J5:J19" si="0">IFERROR(VALUE(LEFT(F5,FIND("/",F5)-1))-VALUE(LEFT(B5,FIND("/",B5)-1)),"N/A")</f>
        <v>1</v>
      </c>
    </row>
    <row r="6" spans="1:10" ht="17.25" customHeight="1">
      <c r="A6" t="s">
        <v>23</v>
      </c>
      <c r="B6" t="s">
        <v>24</v>
      </c>
      <c r="C6" s="31">
        <v>0</v>
      </c>
      <c r="D6" s="32">
        <v>10.3</v>
      </c>
      <c r="E6" s="33">
        <v>6.8252500000000002E-4</v>
      </c>
      <c r="F6" t="s">
        <v>24</v>
      </c>
      <c r="G6" s="31">
        <v>0</v>
      </c>
      <c r="H6" s="32">
        <v>11.4</v>
      </c>
      <c r="I6" s="33">
        <v>6.0045250000000001E-3</v>
      </c>
      <c r="J6" s="34">
        <f t="shared" si="0"/>
        <v>0</v>
      </c>
    </row>
    <row r="7" spans="1:10" ht="17.25" customHeight="1">
      <c r="A7" t="s">
        <v>25</v>
      </c>
      <c r="B7" t="s">
        <v>22</v>
      </c>
      <c r="C7" s="31">
        <v>0</v>
      </c>
      <c r="D7" s="32">
        <v>9.5</v>
      </c>
      <c r="E7" s="33">
        <v>1.181E-4</v>
      </c>
      <c r="F7" t="s">
        <v>24</v>
      </c>
      <c r="G7" s="31">
        <v>1</v>
      </c>
      <c r="H7" s="32">
        <v>10.1</v>
      </c>
      <c r="I7" s="33">
        <v>6.1877500000000005E-3</v>
      </c>
      <c r="J7" s="34">
        <f t="shared" si="0"/>
        <v>1</v>
      </c>
    </row>
    <row r="8" spans="1:10" ht="17.25" customHeight="1">
      <c r="A8" t="s">
        <v>26</v>
      </c>
      <c r="B8" t="s">
        <v>22</v>
      </c>
      <c r="C8" s="31">
        <v>0</v>
      </c>
      <c r="D8" s="32">
        <v>10.7</v>
      </c>
      <c r="E8" s="33">
        <v>1.5220000000000001E-4</v>
      </c>
      <c r="F8" t="s">
        <v>22</v>
      </c>
      <c r="G8" s="31">
        <v>0</v>
      </c>
      <c r="H8" s="32">
        <v>10.9</v>
      </c>
      <c r="I8" s="33">
        <v>4.3657000000000001E-3</v>
      </c>
      <c r="J8" s="34">
        <f t="shared" si="0"/>
        <v>0</v>
      </c>
    </row>
    <row r="9" spans="1:10" ht="17.25" customHeight="1">
      <c r="A9" t="s">
        <v>28</v>
      </c>
      <c r="B9" t="s">
        <v>22</v>
      </c>
      <c r="C9" s="31">
        <v>0</v>
      </c>
      <c r="D9" s="32">
        <v>10.6</v>
      </c>
      <c r="E9" s="33">
        <v>1.6137500000000001E-4</v>
      </c>
      <c r="F9" t="s">
        <v>24</v>
      </c>
      <c r="G9" s="31">
        <v>2</v>
      </c>
      <c r="H9" s="32">
        <v>11.3</v>
      </c>
      <c r="I9" s="33">
        <v>2.0967725E-2</v>
      </c>
      <c r="J9" s="34">
        <f t="shared" si="0"/>
        <v>1</v>
      </c>
    </row>
    <row r="10" spans="1:10" ht="17.25" customHeight="1">
      <c r="A10" t="s">
        <v>10</v>
      </c>
      <c r="B10" t="s">
        <v>39</v>
      </c>
      <c r="C10" s="31">
        <v>5</v>
      </c>
      <c r="D10" s="32">
        <v>38.200000000000003</v>
      </c>
      <c r="E10" s="33">
        <v>3.7929499999999998E-3</v>
      </c>
      <c r="F10" t="s">
        <v>39</v>
      </c>
      <c r="G10" s="31">
        <v>5</v>
      </c>
      <c r="H10" s="32">
        <v>12.6</v>
      </c>
      <c r="I10" s="33">
        <v>8.0024000000000012E-2</v>
      </c>
      <c r="J10" s="34" t="str">
        <f t="shared" si="0"/>
        <v>N/A</v>
      </c>
    </row>
    <row r="11" spans="1:10" ht="17.25" customHeight="1">
      <c r="A11" t="s">
        <v>12</v>
      </c>
      <c r="B11" t="s">
        <v>39</v>
      </c>
      <c r="C11" s="31">
        <v>5</v>
      </c>
      <c r="D11" s="32">
        <v>44.4</v>
      </c>
      <c r="E11" s="33">
        <v>5.5521499999999996E-3</v>
      </c>
      <c r="F11" t="s">
        <v>39</v>
      </c>
      <c r="G11" s="31">
        <v>5</v>
      </c>
      <c r="H11" s="32">
        <v>17.8</v>
      </c>
      <c r="I11" s="33">
        <v>6.9042300000000001E-2</v>
      </c>
      <c r="J11" s="34" t="str">
        <f t="shared" si="0"/>
        <v>N/A</v>
      </c>
    </row>
    <row r="12" spans="1:10" ht="17.25" customHeight="1">
      <c r="A12" t="s">
        <v>14</v>
      </c>
      <c r="B12" t="s">
        <v>62</v>
      </c>
      <c r="C12" s="31">
        <v>1</v>
      </c>
      <c r="D12" s="32">
        <v>10.3</v>
      </c>
      <c r="E12" s="33">
        <v>6.3674999999999995E-4</v>
      </c>
      <c r="F12" t="s">
        <v>62</v>
      </c>
      <c r="G12" s="31">
        <v>2</v>
      </c>
      <c r="H12" s="32">
        <v>11.9</v>
      </c>
      <c r="I12" s="33">
        <v>3.9412050000000004E-2</v>
      </c>
      <c r="J12" s="34">
        <f t="shared" si="0"/>
        <v>0</v>
      </c>
    </row>
    <row r="13" spans="1:10" ht="17.25" customHeight="1">
      <c r="A13" t="s">
        <v>15</v>
      </c>
      <c r="B13" t="s">
        <v>17</v>
      </c>
      <c r="C13" s="31">
        <v>2</v>
      </c>
      <c r="D13" s="32">
        <v>33.4</v>
      </c>
      <c r="E13" s="33">
        <v>2.2805249999999998E-3</v>
      </c>
      <c r="F13" t="s">
        <v>29</v>
      </c>
      <c r="G13" s="31">
        <v>2</v>
      </c>
      <c r="H13" s="32">
        <v>13</v>
      </c>
      <c r="I13" s="33">
        <v>3.1382325000000003E-2</v>
      </c>
      <c r="J13" s="34">
        <f t="shared" si="0"/>
        <v>1</v>
      </c>
    </row>
    <row r="14" spans="1:10" ht="17.25" customHeight="1">
      <c r="A14" t="s">
        <v>18</v>
      </c>
      <c r="B14" t="s">
        <v>63</v>
      </c>
      <c r="C14" s="31">
        <v>3</v>
      </c>
      <c r="D14" s="32">
        <v>19</v>
      </c>
      <c r="E14" s="33">
        <v>2.2566750000000001E-3</v>
      </c>
      <c r="F14" t="s">
        <v>13</v>
      </c>
      <c r="G14" s="31">
        <v>5</v>
      </c>
      <c r="H14" s="32">
        <v>15.7</v>
      </c>
      <c r="I14" s="33">
        <v>4.3436524999999997E-2</v>
      </c>
      <c r="J14" s="34">
        <f t="shared" si="0"/>
        <v>4</v>
      </c>
    </row>
    <row r="15" spans="1:10" ht="17.25" customHeight="1">
      <c r="A15" t="s">
        <v>30</v>
      </c>
      <c r="B15" t="s">
        <v>32</v>
      </c>
      <c r="C15" s="31">
        <v>5</v>
      </c>
      <c r="D15" s="32">
        <v>54.8</v>
      </c>
      <c r="E15" s="33">
        <v>5.0094500000000004E-3</v>
      </c>
      <c r="F15" t="s">
        <v>83</v>
      </c>
      <c r="G15" s="31">
        <v>2</v>
      </c>
      <c r="H15" s="32">
        <v>10.9</v>
      </c>
      <c r="I15" s="33">
        <v>2.836955E-2</v>
      </c>
      <c r="J15" s="34" t="str">
        <f t="shared" si="0"/>
        <v>N/A</v>
      </c>
    </row>
    <row r="16" spans="1:10" ht="17.25" customHeight="1">
      <c r="A16" t="s">
        <v>33</v>
      </c>
      <c r="B16" t="s">
        <v>39</v>
      </c>
      <c r="C16" s="31">
        <v>5</v>
      </c>
      <c r="D16" s="32">
        <v>54.3</v>
      </c>
      <c r="E16" s="33">
        <v>5.5325499999999998E-3</v>
      </c>
      <c r="F16" t="s">
        <v>39</v>
      </c>
      <c r="G16" s="31">
        <v>5</v>
      </c>
      <c r="H16" s="32">
        <v>6.9</v>
      </c>
      <c r="I16" s="33">
        <v>0.14365555000000002</v>
      </c>
      <c r="J16" s="34" t="str">
        <f t="shared" si="0"/>
        <v>N/A</v>
      </c>
    </row>
    <row r="17" spans="1:10" ht="17.25" customHeight="1">
      <c r="A17" t="s">
        <v>35</v>
      </c>
      <c r="B17" t="s">
        <v>39</v>
      </c>
      <c r="C17" s="31">
        <v>5</v>
      </c>
      <c r="D17" s="32">
        <v>31</v>
      </c>
      <c r="E17" s="33">
        <v>7.7444250000000001E-3</v>
      </c>
      <c r="F17" t="s">
        <v>39</v>
      </c>
      <c r="G17" s="31">
        <v>5</v>
      </c>
      <c r="H17" s="32">
        <v>7.7</v>
      </c>
      <c r="I17" s="33">
        <v>0.193357325</v>
      </c>
      <c r="J17" s="34" t="str">
        <f t="shared" si="0"/>
        <v>N/A</v>
      </c>
    </row>
    <row r="18" spans="1:10" ht="17.25" customHeight="1">
      <c r="A18" t="s">
        <v>37</v>
      </c>
      <c r="B18" t="s">
        <v>36</v>
      </c>
      <c r="C18" s="31">
        <v>1</v>
      </c>
      <c r="D18" s="32">
        <v>22.2</v>
      </c>
      <c r="E18" s="33">
        <v>1.4681749999999999E-3</v>
      </c>
      <c r="F18" t="s">
        <v>39</v>
      </c>
      <c r="G18" s="31">
        <v>5</v>
      </c>
      <c r="H18" s="32">
        <v>7.4</v>
      </c>
      <c r="I18" s="33">
        <v>0.122853725</v>
      </c>
      <c r="J18" s="34" t="str">
        <f t="shared" si="0"/>
        <v>N/A</v>
      </c>
    </row>
    <row r="19" spans="1:10" ht="17.25" customHeight="1">
      <c r="A19" t="s">
        <v>38</v>
      </c>
      <c r="B19" t="s">
        <v>39</v>
      </c>
      <c r="C19" s="31">
        <v>5</v>
      </c>
      <c r="D19" s="32">
        <v>43.5</v>
      </c>
      <c r="E19" s="33">
        <v>8.9112749999999998E-3</v>
      </c>
      <c r="F19" t="s">
        <v>39</v>
      </c>
      <c r="G19" s="31">
        <v>5</v>
      </c>
      <c r="H19" s="32">
        <v>6</v>
      </c>
      <c r="I19" s="33">
        <v>0.11092152499999999</v>
      </c>
      <c r="J19" s="34" t="str">
        <f t="shared" si="0"/>
        <v>N/A</v>
      </c>
    </row>
    <row r="20" spans="1:10" ht="28.5" customHeight="1">
      <c r="A20" t="s">
        <v>19</v>
      </c>
      <c r="B20" t="s">
        <v>64</v>
      </c>
      <c r="C20" s="31">
        <f>SUM(C5:C19)</f>
        <v>40</v>
      </c>
      <c r="D20" s="32">
        <f>SUM(D5:D19)</f>
        <v>425</v>
      </c>
      <c r="E20" s="33">
        <f>SUM(E5:E19)</f>
        <v>4.6156075000000005E-2</v>
      </c>
      <c r="F20" s="35" t="s">
        <v>85</v>
      </c>
      <c r="G20" s="31">
        <f>SUM(G5:G19)</f>
        <v>46</v>
      </c>
      <c r="H20" s="32">
        <f>SUM(H5:H19)</f>
        <v>166.2</v>
      </c>
      <c r="I20" s="33">
        <f>SUM(I5:I19)</f>
        <v>0.92720927500000005</v>
      </c>
      <c r="J20" s="34">
        <f>SUM(J5:J19)</f>
        <v>8</v>
      </c>
    </row>
  </sheetData>
  <mergeCells count="2">
    <mergeCell ref="A1:J1"/>
    <mergeCell ref="A2:J2"/>
  </mergeCells>
  <conditionalFormatting sqref="J5:J19">
    <cfRule type="cellIs" dxfId="19" priority="1" operator="greaterThan">
      <formula>0</formula>
    </cfRule>
    <cfRule type="cellIs" dxfId="18" priority="2" operator="lessThan">
      <formula>0</formula>
    </cfRule>
    <cfRule type="cellIs" dxfId="17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0"/>
  <sheetViews>
    <sheetView showGridLines="0" workbookViewId="0">
      <selection activeCell="A2" sqref="A2:J2"/>
    </sheetView>
  </sheetViews>
  <sheetFormatPr defaultRowHeight="13.5"/>
  <cols>
    <col min="1" max="1" width="20" customWidth="1"/>
    <col min="2" max="2" width="22.5" customWidth="1"/>
    <col min="3" max="3" width="11.1875" customWidth="1"/>
    <col min="4" max="4" width="18.6875" customWidth="1"/>
    <col min="5" max="5" width="17.5" customWidth="1"/>
    <col min="6" max="6" width="33.6875" customWidth="1"/>
    <col min="7" max="7" width="11.1875" customWidth="1"/>
    <col min="8" max="8" width="18.6875" customWidth="1"/>
    <col min="9" max="9" width="17.5" customWidth="1"/>
    <col min="10" max="10" width="11.1875" customWidth="1"/>
  </cols>
  <sheetData>
    <row r="1" spans="1:10" ht="25.5" customHeight="1">
      <c r="A1" s="93" t="s">
        <v>77</v>
      </c>
      <c r="B1" s="93"/>
      <c r="C1" s="93"/>
      <c r="D1" s="93"/>
      <c r="E1" s="93"/>
      <c r="F1" s="93"/>
      <c r="G1" s="93"/>
      <c r="H1" s="93"/>
      <c r="I1" s="93"/>
      <c r="J1" s="93"/>
    </row>
    <row r="2" spans="1:10" ht="40.5" customHeight="1">
      <c r="A2" s="94"/>
      <c r="B2" s="94"/>
      <c r="C2" s="94"/>
      <c r="D2" s="94"/>
      <c r="E2" s="94"/>
      <c r="F2" s="94"/>
      <c r="G2" s="94"/>
      <c r="H2" s="94"/>
      <c r="I2" s="94"/>
      <c r="J2" s="94"/>
    </row>
    <row r="3" spans="1:10" ht="10.5" customHeight="1"/>
    <row r="4" spans="1:10" ht="31.5" customHeight="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 ht="17.25" customHeight="1">
      <c r="A5" t="s">
        <v>21</v>
      </c>
      <c r="B5" t="s">
        <v>22</v>
      </c>
      <c r="C5" s="31">
        <v>0</v>
      </c>
      <c r="D5" s="32">
        <v>11.7</v>
      </c>
      <c r="E5" s="33">
        <v>5.1356000000000004E-4</v>
      </c>
      <c r="F5" t="s">
        <v>22</v>
      </c>
      <c r="G5" s="31">
        <v>0</v>
      </c>
      <c r="H5" s="32">
        <v>36.799999999999997</v>
      </c>
      <c r="I5" s="33">
        <v>1.217234E-2</v>
      </c>
      <c r="J5" s="34">
        <f t="shared" ref="J5:J19" si="0">IFERROR(VALUE(LEFT(F5,FIND("/",F5)-1))-VALUE(LEFT(B5,FIND("/",B5)-1)),"N/A")</f>
        <v>0</v>
      </c>
    </row>
    <row r="6" spans="1:10" ht="17.25" customHeight="1">
      <c r="A6" t="s">
        <v>23</v>
      </c>
      <c r="B6" t="s">
        <v>24</v>
      </c>
      <c r="C6" s="31">
        <v>0</v>
      </c>
      <c r="D6" s="32">
        <v>9.9</v>
      </c>
      <c r="E6" s="33">
        <v>1.5862E-4</v>
      </c>
      <c r="F6" t="s">
        <v>24</v>
      </c>
      <c r="G6" s="31">
        <v>0</v>
      </c>
      <c r="H6" s="32">
        <v>18.399999999999999</v>
      </c>
      <c r="I6" s="33">
        <v>6.1589000000000001E-3</v>
      </c>
      <c r="J6" s="34">
        <f t="shared" si="0"/>
        <v>0</v>
      </c>
    </row>
    <row r="7" spans="1:10" ht="17.25" customHeight="1">
      <c r="A7" t="s">
        <v>25</v>
      </c>
      <c r="B7" t="s">
        <v>24</v>
      </c>
      <c r="C7" s="31">
        <v>0</v>
      </c>
      <c r="D7" s="32">
        <v>9.8000000000000007</v>
      </c>
      <c r="E7" s="33">
        <v>6.4263999999999993E-5</v>
      </c>
      <c r="F7" t="s">
        <v>24</v>
      </c>
      <c r="G7" s="31">
        <v>0</v>
      </c>
      <c r="H7" s="32">
        <v>10.5</v>
      </c>
      <c r="I7" s="33">
        <v>2.5900400000000002E-4</v>
      </c>
      <c r="J7" s="34">
        <f t="shared" si="0"/>
        <v>0</v>
      </c>
    </row>
    <row r="8" spans="1:10" ht="17.25" customHeight="1">
      <c r="A8" t="s">
        <v>26</v>
      </c>
      <c r="B8" t="s">
        <v>24</v>
      </c>
      <c r="C8" s="31">
        <v>0</v>
      </c>
      <c r="D8" s="32">
        <v>12.7</v>
      </c>
      <c r="E8" s="33">
        <v>5.5231400000000004E-4</v>
      </c>
      <c r="F8" t="s">
        <v>24</v>
      </c>
      <c r="G8" s="31">
        <v>0</v>
      </c>
      <c r="H8" s="32">
        <v>13.6</v>
      </c>
      <c r="I8" s="33">
        <v>9.5859400000000011E-4</v>
      </c>
      <c r="J8" s="34">
        <f t="shared" si="0"/>
        <v>0</v>
      </c>
    </row>
    <row r="9" spans="1:10" ht="17.25" customHeight="1">
      <c r="A9" t="s">
        <v>28</v>
      </c>
      <c r="B9" t="s">
        <v>24</v>
      </c>
      <c r="C9" s="31">
        <v>0</v>
      </c>
      <c r="D9" s="32">
        <v>11</v>
      </c>
      <c r="E9" s="33">
        <v>3.35244E-4</v>
      </c>
      <c r="F9" t="s">
        <v>24</v>
      </c>
      <c r="G9" s="31">
        <v>0</v>
      </c>
      <c r="H9" s="32">
        <v>19.600000000000001</v>
      </c>
      <c r="I9" s="33">
        <v>5.6832440000000005E-3</v>
      </c>
      <c r="J9" s="34">
        <f t="shared" si="0"/>
        <v>0</v>
      </c>
    </row>
    <row r="10" spans="1:10" ht="17.25" customHeight="1">
      <c r="A10" t="s">
        <v>10</v>
      </c>
      <c r="B10" t="s">
        <v>11</v>
      </c>
      <c r="C10" s="31">
        <v>0</v>
      </c>
      <c r="D10" s="32">
        <v>22</v>
      </c>
      <c r="E10" s="33">
        <v>1.868104E-3</v>
      </c>
      <c r="F10" t="s">
        <v>11</v>
      </c>
      <c r="G10" s="31">
        <v>0</v>
      </c>
      <c r="H10" s="32">
        <v>50.3</v>
      </c>
      <c r="I10" s="33">
        <v>1.1964264E-2</v>
      </c>
      <c r="J10" s="34">
        <f t="shared" si="0"/>
        <v>0</v>
      </c>
    </row>
    <row r="11" spans="1:10" ht="17.25" customHeight="1">
      <c r="A11" t="s">
        <v>12</v>
      </c>
      <c r="B11" t="s">
        <v>11</v>
      </c>
      <c r="C11" s="31">
        <v>0</v>
      </c>
      <c r="D11" s="32">
        <v>19.7</v>
      </c>
      <c r="E11" s="33">
        <v>2.3153639999999999E-3</v>
      </c>
      <c r="F11" t="s">
        <v>11</v>
      </c>
      <c r="G11" s="31">
        <v>0</v>
      </c>
      <c r="H11" s="32">
        <v>27.1</v>
      </c>
      <c r="I11" s="33">
        <v>5.9183039999999992E-3</v>
      </c>
      <c r="J11" s="34">
        <f t="shared" si="0"/>
        <v>0</v>
      </c>
    </row>
    <row r="12" spans="1:10" ht="17.25" customHeight="1">
      <c r="A12" t="s">
        <v>14</v>
      </c>
      <c r="B12" t="s">
        <v>11</v>
      </c>
      <c r="C12" s="31">
        <v>0</v>
      </c>
      <c r="D12" s="32">
        <v>21.5</v>
      </c>
      <c r="E12" s="33">
        <v>2.1256299999999999E-3</v>
      </c>
      <c r="F12" t="s">
        <v>11</v>
      </c>
      <c r="G12" s="31">
        <v>0</v>
      </c>
      <c r="H12" s="32">
        <v>21.6</v>
      </c>
      <c r="I12" s="33">
        <v>2.3476899999999999E-3</v>
      </c>
      <c r="J12" s="34">
        <f t="shared" si="0"/>
        <v>0</v>
      </c>
    </row>
    <row r="13" spans="1:10" ht="17.25" customHeight="1">
      <c r="A13" t="s">
        <v>15</v>
      </c>
      <c r="B13" t="s">
        <v>29</v>
      </c>
      <c r="C13" s="31">
        <v>0</v>
      </c>
      <c r="D13" s="32">
        <v>20.7</v>
      </c>
      <c r="E13" s="33">
        <v>2.2627440000000001E-3</v>
      </c>
      <c r="F13" t="s">
        <v>29</v>
      </c>
      <c r="G13" s="31">
        <v>0</v>
      </c>
      <c r="H13" s="32">
        <v>22.5</v>
      </c>
      <c r="I13" s="33">
        <v>3.8129840000000002E-3</v>
      </c>
      <c r="J13" s="34">
        <f t="shared" si="0"/>
        <v>0</v>
      </c>
    </row>
    <row r="14" spans="1:10" ht="17.25" customHeight="1">
      <c r="A14" t="s">
        <v>18</v>
      </c>
      <c r="B14" t="s">
        <v>11</v>
      </c>
      <c r="C14" s="31">
        <v>0</v>
      </c>
      <c r="D14" s="32">
        <v>29.6</v>
      </c>
      <c r="E14" s="33">
        <v>2.5374E-3</v>
      </c>
      <c r="F14" t="s">
        <v>11</v>
      </c>
      <c r="G14" s="31">
        <v>0</v>
      </c>
      <c r="H14" s="32">
        <v>42.1</v>
      </c>
      <c r="I14" s="33">
        <v>1.1005820000000001E-2</v>
      </c>
      <c r="J14" s="34">
        <f t="shared" si="0"/>
        <v>0</v>
      </c>
    </row>
    <row r="15" spans="1:10" ht="17.25" customHeight="1">
      <c r="A15" t="s">
        <v>30</v>
      </c>
      <c r="B15" t="s">
        <v>48</v>
      </c>
      <c r="C15" s="31">
        <v>0</v>
      </c>
      <c r="D15" s="32">
        <v>25.3</v>
      </c>
      <c r="E15" s="33">
        <v>1.7454E-3</v>
      </c>
      <c r="F15" t="s">
        <v>48</v>
      </c>
      <c r="G15" s="31">
        <v>0</v>
      </c>
      <c r="H15" s="32">
        <v>30.4</v>
      </c>
      <c r="I15" s="33">
        <v>4.2594199999999999E-3</v>
      </c>
      <c r="J15" s="34">
        <f t="shared" si="0"/>
        <v>0</v>
      </c>
    </row>
    <row r="16" spans="1:10" ht="17.25" customHeight="1">
      <c r="A16" t="s">
        <v>33</v>
      </c>
      <c r="B16" t="s">
        <v>34</v>
      </c>
      <c r="C16" s="31">
        <v>0</v>
      </c>
      <c r="D16" s="32">
        <v>17.899999999999999</v>
      </c>
      <c r="E16" s="33">
        <v>1.3974040000000001E-3</v>
      </c>
      <c r="F16" t="s">
        <v>82</v>
      </c>
      <c r="G16" s="31">
        <v>0</v>
      </c>
      <c r="H16" s="32">
        <v>50.7</v>
      </c>
      <c r="I16" s="33">
        <v>3.0943164000000002E-2</v>
      </c>
      <c r="J16" s="34" t="str">
        <f t="shared" si="0"/>
        <v>N/A</v>
      </c>
    </row>
    <row r="17" spans="1:10" ht="17.25" customHeight="1">
      <c r="A17" t="s">
        <v>35</v>
      </c>
      <c r="B17" t="s">
        <v>45</v>
      </c>
      <c r="C17" s="31">
        <v>1</v>
      </c>
      <c r="D17" s="32">
        <v>39.299999999999997</v>
      </c>
      <c r="E17" s="33">
        <v>4.9117800000000001E-3</v>
      </c>
      <c r="F17" t="s">
        <v>83</v>
      </c>
      <c r="G17" s="31">
        <v>2</v>
      </c>
      <c r="H17" s="32">
        <v>118.7</v>
      </c>
      <c r="I17" s="33">
        <v>3.1609039999999998E-2</v>
      </c>
      <c r="J17" s="34" t="str">
        <f t="shared" si="0"/>
        <v>N/A</v>
      </c>
    </row>
    <row r="18" spans="1:10" ht="17.25" customHeight="1">
      <c r="A18" t="s">
        <v>37</v>
      </c>
      <c r="B18" t="s">
        <v>31</v>
      </c>
      <c r="C18" s="31">
        <v>0</v>
      </c>
      <c r="D18" s="32">
        <v>14.6</v>
      </c>
      <c r="E18" s="33">
        <v>7.4021000000000004E-4</v>
      </c>
      <c r="F18" t="s">
        <v>44</v>
      </c>
      <c r="G18" s="31">
        <v>1</v>
      </c>
      <c r="H18" s="32">
        <v>73.3</v>
      </c>
      <c r="I18" s="33">
        <v>3.5402969999999999E-2</v>
      </c>
      <c r="J18" s="34">
        <f t="shared" si="0"/>
        <v>2</v>
      </c>
    </row>
    <row r="19" spans="1:10" ht="17.25" customHeight="1">
      <c r="A19" t="s">
        <v>38</v>
      </c>
      <c r="B19" t="s">
        <v>44</v>
      </c>
      <c r="C19" s="31">
        <v>0</v>
      </c>
      <c r="D19" s="32">
        <v>24.1</v>
      </c>
      <c r="E19" s="33">
        <v>3.0700800000000002E-3</v>
      </c>
      <c r="F19" t="s">
        <v>44</v>
      </c>
      <c r="G19" s="31">
        <v>0</v>
      </c>
      <c r="H19" s="32">
        <v>43.6</v>
      </c>
      <c r="I19" s="33">
        <v>1.1434719999999999E-2</v>
      </c>
      <c r="J19" s="34">
        <f t="shared" si="0"/>
        <v>0</v>
      </c>
    </row>
    <row r="20" spans="1:10" ht="28.5" customHeight="1">
      <c r="A20" t="s">
        <v>19</v>
      </c>
      <c r="B20" t="s">
        <v>67</v>
      </c>
      <c r="C20" s="31">
        <f>SUM(C5:C19)</f>
        <v>1</v>
      </c>
      <c r="D20" s="32">
        <f>SUM(D5:D19)</f>
        <v>289.80000000000007</v>
      </c>
      <c r="E20" s="33">
        <f>SUM(E5:E19)</f>
        <v>2.4598118000000002E-2</v>
      </c>
      <c r="F20" s="35" t="s">
        <v>86</v>
      </c>
      <c r="G20" s="31">
        <f>SUM(G5:G19)</f>
        <v>3</v>
      </c>
      <c r="H20" s="32">
        <f>SUM(H5:H19)</f>
        <v>579.19999999999993</v>
      </c>
      <c r="I20" s="33">
        <f>SUM(I5:I19)</f>
        <v>0.17393045800000001</v>
      </c>
      <c r="J20" s="34">
        <f>SUM(J5:J19)</f>
        <v>2</v>
      </c>
    </row>
  </sheetData>
  <mergeCells count="2">
    <mergeCell ref="A1:J1"/>
    <mergeCell ref="A2:J2"/>
  </mergeCells>
  <conditionalFormatting sqref="J5:J19">
    <cfRule type="cellIs" dxfId="16" priority="1" operator="greaterThan">
      <formula>0</formula>
    </cfRule>
    <cfRule type="cellIs" dxfId="15" priority="2" operator="lessThan">
      <formula>0</formula>
    </cfRule>
    <cfRule type="cellIs" dxfId="14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0"/>
  <sheetViews>
    <sheetView showGridLines="0" workbookViewId="0">
      <selection activeCell="A2" sqref="A2:J2"/>
    </sheetView>
  </sheetViews>
  <sheetFormatPr defaultRowHeight="13.5"/>
  <cols>
    <col min="1" max="1" width="20" customWidth="1"/>
    <col min="2" max="2" width="22.5" customWidth="1"/>
    <col min="3" max="3" width="11.1875" customWidth="1"/>
    <col min="4" max="4" width="18.6875" customWidth="1"/>
    <col min="5" max="5" width="17.5" customWidth="1"/>
    <col min="6" max="6" width="33.6875" customWidth="1"/>
    <col min="7" max="7" width="11.1875" customWidth="1"/>
    <col min="8" max="8" width="18.6875" customWidth="1"/>
    <col min="9" max="9" width="17.5" customWidth="1"/>
    <col min="10" max="10" width="11.1875" customWidth="1"/>
  </cols>
  <sheetData>
    <row r="1" spans="1:10" ht="25.5" customHeight="1">
      <c r="A1" s="93" t="s">
        <v>78</v>
      </c>
      <c r="B1" s="93"/>
      <c r="C1" s="93"/>
      <c r="D1" s="93"/>
      <c r="E1" s="93"/>
      <c r="F1" s="93"/>
      <c r="G1" s="93"/>
      <c r="H1" s="93"/>
      <c r="I1" s="93"/>
      <c r="J1" s="93"/>
    </row>
    <row r="2" spans="1:10" ht="40.5" customHeight="1">
      <c r="A2" s="94"/>
      <c r="B2" s="94"/>
      <c r="C2" s="94"/>
      <c r="D2" s="94"/>
      <c r="E2" s="94"/>
      <c r="F2" s="94"/>
      <c r="G2" s="94"/>
      <c r="H2" s="94"/>
      <c r="I2" s="94"/>
      <c r="J2" s="94"/>
    </row>
    <row r="3" spans="1:10" ht="10.5" customHeight="1"/>
    <row r="4" spans="1:10" ht="31.5" customHeight="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 ht="17.25" customHeight="1">
      <c r="A5" t="s">
        <v>21</v>
      </c>
      <c r="B5" t="s">
        <v>22</v>
      </c>
      <c r="C5" s="31">
        <v>0</v>
      </c>
      <c r="D5" s="32">
        <v>11.4</v>
      </c>
      <c r="E5" s="33">
        <v>2.1294999999999999E-3</v>
      </c>
      <c r="F5" t="s">
        <v>22</v>
      </c>
      <c r="G5" s="31">
        <v>0</v>
      </c>
      <c r="H5" s="32">
        <v>11.8</v>
      </c>
      <c r="I5" s="33">
        <v>1.4679999999999999E-2</v>
      </c>
      <c r="J5" s="34">
        <f t="shared" ref="J5:J19" si="0">IFERROR(VALUE(LEFT(F5,FIND("/",F5)-1))-VALUE(LEFT(B5,FIND("/",B5)-1)),"N/A")</f>
        <v>0</v>
      </c>
    </row>
    <row r="6" spans="1:10" ht="17.25" customHeight="1">
      <c r="A6" t="s">
        <v>23</v>
      </c>
      <c r="B6" t="s">
        <v>24</v>
      </c>
      <c r="C6" s="31">
        <v>0</v>
      </c>
      <c r="D6" s="32">
        <v>9.6</v>
      </c>
      <c r="E6" s="33">
        <v>9.7674999999999997E-4</v>
      </c>
      <c r="F6" t="s">
        <v>24</v>
      </c>
      <c r="G6" s="31">
        <v>0</v>
      </c>
      <c r="H6" s="32">
        <v>9.9</v>
      </c>
      <c r="I6" s="33">
        <v>6.6909999999999999E-3</v>
      </c>
      <c r="J6" s="34">
        <f t="shared" si="0"/>
        <v>0</v>
      </c>
    </row>
    <row r="7" spans="1:10" ht="17.25" customHeight="1">
      <c r="A7" t="s">
        <v>25</v>
      </c>
      <c r="B7" t="s">
        <v>24</v>
      </c>
      <c r="C7" s="31">
        <v>0</v>
      </c>
      <c r="D7" s="32">
        <v>10.5</v>
      </c>
      <c r="E7" s="33">
        <v>6.1487499999999997E-4</v>
      </c>
      <c r="F7" t="s">
        <v>24</v>
      </c>
      <c r="G7" s="31">
        <v>0</v>
      </c>
      <c r="H7" s="32">
        <v>10.3</v>
      </c>
      <c r="I7" s="33">
        <v>2.9563749999999998E-3</v>
      </c>
      <c r="J7" s="34">
        <f t="shared" si="0"/>
        <v>0</v>
      </c>
    </row>
    <row r="8" spans="1:10" ht="17.25" customHeight="1">
      <c r="A8" t="s">
        <v>26</v>
      </c>
      <c r="B8" t="s">
        <v>27</v>
      </c>
      <c r="C8" s="31">
        <v>0</v>
      </c>
      <c r="D8" s="32">
        <v>10.8</v>
      </c>
      <c r="E8" s="33">
        <v>9.76125E-4</v>
      </c>
      <c r="F8" t="s">
        <v>22</v>
      </c>
      <c r="G8" s="31">
        <v>1</v>
      </c>
      <c r="H8" s="32">
        <v>11.2</v>
      </c>
      <c r="I8" s="33">
        <v>1.9632125E-2</v>
      </c>
      <c r="J8" s="34">
        <f t="shared" si="0"/>
        <v>1</v>
      </c>
    </row>
    <row r="9" spans="1:10" ht="17.25" customHeight="1">
      <c r="A9" t="s">
        <v>28</v>
      </c>
      <c r="B9" t="s">
        <v>27</v>
      </c>
      <c r="C9" s="31">
        <v>0</v>
      </c>
      <c r="D9" s="32">
        <v>10.6</v>
      </c>
      <c r="E9" s="33">
        <v>2.2138750000000001E-3</v>
      </c>
      <c r="F9" t="s">
        <v>24</v>
      </c>
      <c r="G9" s="31">
        <v>1</v>
      </c>
      <c r="H9" s="32">
        <v>11.3</v>
      </c>
      <c r="I9" s="33">
        <v>2.5785374999999999E-2</v>
      </c>
      <c r="J9" s="34">
        <f t="shared" si="0"/>
        <v>2</v>
      </c>
    </row>
    <row r="10" spans="1:10" ht="17.25" customHeight="1">
      <c r="A10" t="s">
        <v>10</v>
      </c>
      <c r="B10" t="s">
        <v>11</v>
      </c>
      <c r="C10" s="31">
        <v>0</v>
      </c>
      <c r="D10" s="32">
        <v>14.7</v>
      </c>
      <c r="E10" s="33">
        <v>1.5922499999999999E-3</v>
      </c>
      <c r="F10" t="s">
        <v>13</v>
      </c>
      <c r="G10" s="31">
        <v>0</v>
      </c>
      <c r="H10" s="32">
        <v>15.9</v>
      </c>
      <c r="I10" s="33">
        <v>1.89E-2</v>
      </c>
      <c r="J10" s="34">
        <f t="shared" si="0"/>
        <v>-1</v>
      </c>
    </row>
    <row r="11" spans="1:10" ht="17.25" customHeight="1">
      <c r="A11" t="s">
        <v>12</v>
      </c>
      <c r="B11" t="s">
        <v>13</v>
      </c>
      <c r="C11" s="31">
        <v>0</v>
      </c>
      <c r="D11" s="32">
        <v>10.199999999999999</v>
      </c>
      <c r="E11" s="33">
        <v>1.2542499999999999E-3</v>
      </c>
      <c r="F11" t="s">
        <v>11</v>
      </c>
      <c r="G11" s="31">
        <v>1</v>
      </c>
      <c r="H11" s="32">
        <v>11.7</v>
      </c>
      <c r="I11" s="33">
        <v>3.3083649999999999E-2</v>
      </c>
      <c r="J11" s="34">
        <f t="shared" si="0"/>
        <v>1</v>
      </c>
    </row>
    <row r="12" spans="1:10" ht="17.25" customHeight="1">
      <c r="A12" t="s">
        <v>14</v>
      </c>
      <c r="B12" t="s">
        <v>11</v>
      </c>
      <c r="C12" s="31">
        <v>0</v>
      </c>
      <c r="D12" s="32">
        <v>11.8</v>
      </c>
      <c r="E12" s="33">
        <v>1.6117499999999999E-3</v>
      </c>
      <c r="F12" t="s">
        <v>11</v>
      </c>
      <c r="G12" s="31">
        <v>0</v>
      </c>
      <c r="H12" s="32">
        <v>12.1</v>
      </c>
      <c r="I12" s="33">
        <v>1.5748499999999999E-2</v>
      </c>
      <c r="J12" s="34">
        <f t="shared" si="0"/>
        <v>0</v>
      </c>
    </row>
    <row r="13" spans="1:10" ht="17.25" customHeight="1">
      <c r="A13" t="s">
        <v>15</v>
      </c>
      <c r="B13" t="s">
        <v>16</v>
      </c>
      <c r="C13" s="31">
        <v>0</v>
      </c>
      <c r="D13" s="32">
        <v>11.4</v>
      </c>
      <c r="E13" s="33">
        <v>1.621E-3</v>
      </c>
      <c r="F13" t="s">
        <v>29</v>
      </c>
      <c r="G13" s="31">
        <v>1</v>
      </c>
      <c r="H13" s="32">
        <v>12.8</v>
      </c>
      <c r="I13" s="33">
        <v>2.6073900000000001E-2</v>
      </c>
      <c r="J13" s="34">
        <f t="shared" si="0"/>
        <v>3</v>
      </c>
    </row>
    <row r="14" spans="1:10" ht="17.25" customHeight="1">
      <c r="A14" t="s">
        <v>18</v>
      </c>
      <c r="B14" t="s">
        <v>13</v>
      </c>
      <c r="C14" s="31">
        <v>0</v>
      </c>
      <c r="D14" s="32">
        <v>11.9</v>
      </c>
      <c r="E14" s="33">
        <v>1.8866250000000001E-3</v>
      </c>
      <c r="F14" t="s">
        <v>11</v>
      </c>
      <c r="G14" s="31">
        <v>1</v>
      </c>
      <c r="H14" s="32">
        <v>13.7</v>
      </c>
      <c r="I14" s="33">
        <v>2.7699774999999999E-2</v>
      </c>
      <c r="J14" s="34">
        <f t="shared" si="0"/>
        <v>1</v>
      </c>
    </row>
    <row r="15" spans="1:10" ht="17.25" customHeight="1">
      <c r="A15" t="s">
        <v>30</v>
      </c>
      <c r="B15" t="s">
        <v>31</v>
      </c>
      <c r="C15" s="31">
        <v>0</v>
      </c>
      <c r="D15" s="32">
        <v>13.9</v>
      </c>
      <c r="E15" s="33">
        <v>2.2463750000000001E-3</v>
      </c>
      <c r="F15" t="s">
        <v>32</v>
      </c>
      <c r="G15" s="31">
        <v>1</v>
      </c>
      <c r="H15" s="32">
        <v>16.2</v>
      </c>
      <c r="I15" s="33">
        <v>3.2750775000000003E-2</v>
      </c>
      <c r="J15" s="34">
        <f t="shared" si="0"/>
        <v>3</v>
      </c>
    </row>
    <row r="16" spans="1:10" ht="17.25" customHeight="1">
      <c r="A16" t="s">
        <v>33</v>
      </c>
      <c r="B16" t="s">
        <v>34</v>
      </c>
      <c r="C16" s="31">
        <v>0</v>
      </c>
      <c r="D16" s="32">
        <v>13.4</v>
      </c>
      <c r="E16" s="33">
        <v>2.7671250000000001E-3</v>
      </c>
      <c r="F16" t="s">
        <v>34</v>
      </c>
      <c r="G16" s="31">
        <v>0</v>
      </c>
      <c r="H16" s="32">
        <v>13.6</v>
      </c>
      <c r="I16" s="33">
        <v>1.5032625000000001E-2</v>
      </c>
      <c r="J16" s="34">
        <f t="shared" si="0"/>
        <v>0</v>
      </c>
    </row>
    <row r="17" spans="1:10" ht="17.25" customHeight="1">
      <c r="A17" t="s">
        <v>35</v>
      </c>
      <c r="B17" t="s">
        <v>36</v>
      </c>
      <c r="C17" s="31">
        <v>1</v>
      </c>
      <c r="D17" s="32">
        <v>23.4</v>
      </c>
      <c r="E17" s="33">
        <v>1.3198125E-2</v>
      </c>
      <c r="F17" t="s">
        <v>39</v>
      </c>
      <c r="G17" s="31">
        <v>5</v>
      </c>
      <c r="H17" s="32">
        <v>33.1</v>
      </c>
      <c r="I17" s="33">
        <v>0.30070217500000002</v>
      </c>
      <c r="J17" s="34" t="str">
        <f t="shared" si="0"/>
        <v>N/A</v>
      </c>
    </row>
    <row r="18" spans="1:10" ht="17.25" customHeight="1">
      <c r="A18" t="s">
        <v>37</v>
      </c>
      <c r="B18" t="s">
        <v>34</v>
      </c>
      <c r="C18" s="31">
        <v>0</v>
      </c>
      <c r="D18" s="32">
        <v>13.4</v>
      </c>
      <c r="E18" s="33">
        <v>2.6294999999999999E-3</v>
      </c>
      <c r="F18" t="s">
        <v>34</v>
      </c>
      <c r="G18" s="31">
        <v>0</v>
      </c>
      <c r="H18" s="32">
        <v>13.8</v>
      </c>
      <c r="I18" s="33">
        <v>1.83E-2</v>
      </c>
      <c r="J18" s="34">
        <f t="shared" si="0"/>
        <v>0</v>
      </c>
    </row>
    <row r="19" spans="1:10" ht="17.25" customHeight="1">
      <c r="A19" t="s">
        <v>38</v>
      </c>
      <c r="B19" t="s">
        <v>39</v>
      </c>
      <c r="C19" s="31">
        <v>5</v>
      </c>
      <c r="D19" s="32">
        <v>43.1</v>
      </c>
      <c r="E19" s="33">
        <v>4.8179525000000001E-2</v>
      </c>
      <c r="F19" t="s">
        <v>39</v>
      </c>
      <c r="G19" s="31">
        <v>5</v>
      </c>
      <c r="H19" s="32">
        <v>22.8</v>
      </c>
      <c r="I19" s="33">
        <v>0.279696375</v>
      </c>
      <c r="J19" s="34" t="str">
        <f t="shared" si="0"/>
        <v>N/A</v>
      </c>
    </row>
    <row r="20" spans="1:10" ht="28.5" customHeight="1">
      <c r="A20" t="s">
        <v>19</v>
      </c>
      <c r="B20" t="s">
        <v>40</v>
      </c>
      <c r="C20" s="31">
        <f>SUM(C5:C19)</f>
        <v>6</v>
      </c>
      <c r="D20" s="32">
        <f>SUM(D5:D19)</f>
        <v>220.10000000000002</v>
      </c>
      <c r="E20" s="33">
        <f>SUM(E5:E19)</f>
        <v>8.3897650000000004E-2</v>
      </c>
      <c r="F20" s="35" t="s">
        <v>87</v>
      </c>
      <c r="G20" s="31">
        <f>SUM(G5:G19)</f>
        <v>16</v>
      </c>
      <c r="H20" s="32">
        <f>SUM(H5:H19)</f>
        <v>220.20000000000002</v>
      </c>
      <c r="I20" s="33">
        <f>SUM(I5:I19)</f>
        <v>0.83773265000000008</v>
      </c>
      <c r="J20" s="34">
        <f>SUM(J5:J19)</f>
        <v>10</v>
      </c>
    </row>
  </sheetData>
  <mergeCells count="2">
    <mergeCell ref="A1:J1"/>
    <mergeCell ref="A2:J2"/>
  </mergeCells>
  <conditionalFormatting sqref="J5:J19">
    <cfRule type="cellIs" dxfId="13" priority="1" operator="greaterThan">
      <formula>0</formula>
    </cfRule>
    <cfRule type="cellIs" dxfId="12" priority="2" operator="lessThan">
      <formula>0</formula>
    </cfRule>
    <cfRule type="cellIs" dxfId="11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0"/>
  <sheetViews>
    <sheetView showGridLines="0" workbookViewId="0">
      <selection activeCell="A2" sqref="A2:J2"/>
    </sheetView>
  </sheetViews>
  <sheetFormatPr defaultRowHeight="13.5"/>
  <cols>
    <col min="1" max="1" width="20" customWidth="1"/>
    <col min="2" max="2" width="22.5" customWidth="1"/>
    <col min="3" max="3" width="11.1875" customWidth="1"/>
    <col min="4" max="4" width="18.6875" customWidth="1"/>
    <col min="5" max="5" width="17.5" customWidth="1"/>
    <col min="6" max="6" width="33.6875" customWidth="1"/>
    <col min="7" max="7" width="11.1875" customWidth="1"/>
    <col min="8" max="8" width="18.6875" customWidth="1"/>
    <col min="9" max="9" width="17.5" customWidth="1"/>
    <col min="10" max="10" width="11.1875" customWidth="1"/>
  </cols>
  <sheetData>
    <row r="1" spans="1:10" ht="25.5" customHeight="1">
      <c r="A1" s="93" t="s">
        <v>79</v>
      </c>
      <c r="B1" s="93"/>
      <c r="C1" s="93"/>
      <c r="D1" s="93"/>
      <c r="E1" s="93"/>
      <c r="F1" s="93"/>
      <c r="G1" s="93"/>
      <c r="H1" s="93"/>
      <c r="I1" s="93"/>
      <c r="J1" s="93"/>
    </row>
    <row r="2" spans="1:10" ht="40.5" customHeight="1">
      <c r="A2" s="94"/>
      <c r="B2" s="94"/>
      <c r="C2" s="94"/>
      <c r="D2" s="94"/>
      <c r="E2" s="94"/>
      <c r="F2" s="94"/>
      <c r="G2" s="94"/>
      <c r="H2" s="94"/>
      <c r="I2" s="94"/>
      <c r="J2" s="94"/>
    </row>
    <row r="3" spans="1:10" ht="10.5" customHeight="1"/>
    <row r="4" spans="1:10" ht="31.5" customHeight="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 ht="17.25" customHeight="1">
      <c r="A5" t="s">
        <v>21</v>
      </c>
      <c r="B5" t="s">
        <v>22</v>
      </c>
      <c r="C5" s="31">
        <v>0</v>
      </c>
      <c r="D5" s="32">
        <v>11.4</v>
      </c>
      <c r="E5" s="33">
        <v>2.1294999999999999E-3</v>
      </c>
      <c r="F5" t="s">
        <v>22</v>
      </c>
      <c r="G5" s="31">
        <v>0</v>
      </c>
      <c r="H5" s="32">
        <v>11.8</v>
      </c>
      <c r="I5" s="33">
        <v>8.9230000000000004E-3</v>
      </c>
      <c r="J5" s="34">
        <f t="shared" ref="J5:J19" si="0">IFERROR(VALUE(LEFT(F5,FIND("/",F5)-1))-VALUE(LEFT(B5,FIND("/",B5)-1)),"N/A")</f>
        <v>0</v>
      </c>
    </row>
    <row r="6" spans="1:10" ht="17.25" customHeight="1">
      <c r="A6" t="s">
        <v>23</v>
      </c>
      <c r="B6" t="s">
        <v>24</v>
      </c>
      <c r="C6" s="31">
        <v>0</v>
      </c>
      <c r="D6" s="32">
        <v>9.6</v>
      </c>
      <c r="E6" s="33">
        <v>9.7674999999999997E-4</v>
      </c>
      <c r="F6" t="s">
        <v>24</v>
      </c>
      <c r="G6" s="31">
        <v>0</v>
      </c>
      <c r="H6" s="32">
        <v>10.199999999999999</v>
      </c>
      <c r="I6" s="33">
        <v>7.0672500000000006E-3</v>
      </c>
      <c r="J6" s="34">
        <f t="shared" si="0"/>
        <v>0</v>
      </c>
    </row>
    <row r="7" spans="1:10" ht="17.25" customHeight="1">
      <c r="A7" t="s">
        <v>25</v>
      </c>
      <c r="B7" t="s">
        <v>24</v>
      </c>
      <c r="C7" s="31">
        <v>0</v>
      </c>
      <c r="D7" s="32">
        <v>10.5</v>
      </c>
      <c r="E7" s="33">
        <v>6.1487499999999997E-4</v>
      </c>
      <c r="F7" t="s">
        <v>24</v>
      </c>
      <c r="G7" s="31">
        <v>0</v>
      </c>
      <c r="H7" s="32">
        <v>9.9</v>
      </c>
      <c r="I7" s="33">
        <v>2.2078749999999998E-3</v>
      </c>
      <c r="J7" s="34">
        <f t="shared" si="0"/>
        <v>0</v>
      </c>
    </row>
    <row r="8" spans="1:10" ht="17.25" customHeight="1">
      <c r="A8" t="s">
        <v>26</v>
      </c>
      <c r="B8" t="s">
        <v>27</v>
      </c>
      <c r="C8" s="31">
        <v>0</v>
      </c>
      <c r="D8" s="32">
        <v>10.8</v>
      </c>
      <c r="E8" s="33">
        <v>9.76125E-4</v>
      </c>
      <c r="F8" t="s">
        <v>22</v>
      </c>
      <c r="G8" s="31">
        <v>1</v>
      </c>
      <c r="H8" s="32">
        <v>11.3</v>
      </c>
      <c r="I8" s="33">
        <v>1.3652124999999999E-2</v>
      </c>
      <c r="J8" s="34">
        <f t="shared" si="0"/>
        <v>1</v>
      </c>
    </row>
    <row r="9" spans="1:10" ht="17.25" customHeight="1">
      <c r="A9" t="s">
        <v>28</v>
      </c>
      <c r="B9" t="s">
        <v>27</v>
      </c>
      <c r="C9" s="31">
        <v>0</v>
      </c>
      <c r="D9" s="32">
        <v>10.6</v>
      </c>
      <c r="E9" s="33">
        <v>2.2138750000000001E-3</v>
      </c>
      <c r="F9" t="s">
        <v>24</v>
      </c>
      <c r="G9" s="31">
        <v>1</v>
      </c>
      <c r="H9" s="32">
        <v>11.4</v>
      </c>
      <c r="I9" s="33">
        <v>2.4931624999999999E-2</v>
      </c>
      <c r="J9" s="34">
        <f t="shared" si="0"/>
        <v>2</v>
      </c>
    </row>
    <row r="10" spans="1:10" ht="17.25" customHeight="1">
      <c r="A10" t="s">
        <v>10</v>
      </c>
      <c r="B10" t="s">
        <v>11</v>
      </c>
      <c r="C10" s="31">
        <v>0</v>
      </c>
      <c r="D10" s="32">
        <v>14.7</v>
      </c>
      <c r="E10" s="33">
        <v>1.5922499999999999E-3</v>
      </c>
      <c r="F10" t="s">
        <v>13</v>
      </c>
      <c r="G10" s="31">
        <v>0</v>
      </c>
      <c r="H10" s="32">
        <v>14.9</v>
      </c>
      <c r="I10" s="33">
        <v>7.7027499999999995E-3</v>
      </c>
      <c r="J10" s="34">
        <f t="shared" si="0"/>
        <v>-1</v>
      </c>
    </row>
    <row r="11" spans="1:10" ht="17.25" customHeight="1">
      <c r="A11" t="s">
        <v>12</v>
      </c>
      <c r="B11" t="s">
        <v>13</v>
      </c>
      <c r="C11" s="31">
        <v>0</v>
      </c>
      <c r="D11" s="32">
        <v>10.199999999999999</v>
      </c>
      <c r="E11" s="33">
        <v>1.2542499999999999E-3</v>
      </c>
      <c r="F11" t="s">
        <v>11</v>
      </c>
      <c r="G11" s="31">
        <v>1</v>
      </c>
      <c r="H11" s="32">
        <v>11</v>
      </c>
      <c r="I11" s="33">
        <v>2.2213499999999997E-2</v>
      </c>
      <c r="J11" s="34">
        <f t="shared" si="0"/>
        <v>1</v>
      </c>
    </row>
    <row r="12" spans="1:10" ht="17.25" customHeight="1">
      <c r="A12" t="s">
        <v>14</v>
      </c>
      <c r="B12" t="s">
        <v>11</v>
      </c>
      <c r="C12" s="31">
        <v>0</v>
      </c>
      <c r="D12" s="32">
        <v>11.8</v>
      </c>
      <c r="E12" s="33">
        <v>1.6117499999999999E-3</v>
      </c>
      <c r="F12" t="s">
        <v>11</v>
      </c>
      <c r="G12" s="31">
        <v>0</v>
      </c>
      <c r="H12" s="32">
        <v>12.1</v>
      </c>
      <c r="I12" s="33">
        <v>1.035225E-2</v>
      </c>
      <c r="J12" s="34">
        <f t="shared" si="0"/>
        <v>0</v>
      </c>
    </row>
    <row r="13" spans="1:10" ht="17.25" customHeight="1">
      <c r="A13" t="s">
        <v>15</v>
      </c>
      <c r="B13" t="s">
        <v>16</v>
      </c>
      <c r="C13" s="31">
        <v>0</v>
      </c>
      <c r="D13" s="32">
        <v>11.4</v>
      </c>
      <c r="E13" s="33">
        <v>1.621E-3</v>
      </c>
      <c r="F13" t="s">
        <v>29</v>
      </c>
      <c r="G13" s="31">
        <v>1</v>
      </c>
      <c r="H13" s="32">
        <v>12.6</v>
      </c>
      <c r="I13" s="33">
        <v>2.120325E-2</v>
      </c>
      <c r="J13" s="34">
        <f t="shared" si="0"/>
        <v>3</v>
      </c>
    </row>
    <row r="14" spans="1:10" ht="17.25" customHeight="1">
      <c r="A14" t="s">
        <v>18</v>
      </c>
      <c r="B14" t="s">
        <v>13</v>
      </c>
      <c r="C14" s="31">
        <v>0</v>
      </c>
      <c r="D14" s="32">
        <v>11.9</v>
      </c>
      <c r="E14" s="33">
        <v>1.8866250000000001E-3</v>
      </c>
      <c r="F14" t="s">
        <v>11</v>
      </c>
      <c r="G14" s="31">
        <v>1</v>
      </c>
      <c r="H14" s="32">
        <v>13.3</v>
      </c>
      <c r="I14" s="33">
        <v>1.8592125000000001E-2</v>
      </c>
      <c r="J14" s="34">
        <f t="shared" si="0"/>
        <v>1</v>
      </c>
    </row>
    <row r="15" spans="1:10" ht="17.25" customHeight="1">
      <c r="A15" t="s">
        <v>30</v>
      </c>
      <c r="B15" t="s">
        <v>31</v>
      </c>
      <c r="C15" s="31">
        <v>0</v>
      </c>
      <c r="D15" s="32">
        <v>13.9</v>
      </c>
      <c r="E15" s="33">
        <v>2.2463750000000001E-3</v>
      </c>
      <c r="F15" t="s">
        <v>32</v>
      </c>
      <c r="G15" s="31">
        <v>1</v>
      </c>
      <c r="H15" s="32">
        <v>16.399999999999999</v>
      </c>
      <c r="I15" s="33">
        <v>3.3248125000000003E-2</v>
      </c>
      <c r="J15" s="34">
        <f t="shared" si="0"/>
        <v>3</v>
      </c>
    </row>
    <row r="16" spans="1:10" ht="17.25" customHeight="1">
      <c r="A16" t="s">
        <v>33</v>
      </c>
      <c r="B16" t="s">
        <v>34</v>
      </c>
      <c r="C16" s="31">
        <v>0</v>
      </c>
      <c r="D16" s="32">
        <v>13.4</v>
      </c>
      <c r="E16" s="33">
        <v>2.7671250000000001E-3</v>
      </c>
      <c r="F16" t="s">
        <v>34</v>
      </c>
      <c r="G16" s="31">
        <v>0</v>
      </c>
      <c r="H16" s="32">
        <v>13.9</v>
      </c>
      <c r="I16" s="33">
        <v>1.7940125000000001E-2</v>
      </c>
      <c r="J16" s="34">
        <f t="shared" si="0"/>
        <v>0</v>
      </c>
    </row>
    <row r="17" spans="1:10" ht="17.25" customHeight="1">
      <c r="A17" t="s">
        <v>35</v>
      </c>
      <c r="B17" t="s">
        <v>36</v>
      </c>
      <c r="C17" s="31">
        <v>1</v>
      </c>
      <c r="D17" s="32">
        <v>23.4</v>
      </c>
      <c r="E17" s="33">
        <v>1.3198125E-2</v>
      </c>
      <c r="F17" t="s">
        <v>36</v>
      </c>
      <c r="G17" s="31">
        <v>1</v>
      </c>
      <c r="H17" s="32">
        <v>25</v>
      </c>
      <c r="I17" s="33">
        <v>5.4472624999999997E-2</v>
      </c>
      <c r="J17" s="34">
        <f t="shared" si="0"/>
        <v>0</v>
      </c>
    </row>
    <row r="18" spans="1:10" ht="17.25" customHeight="1">
      <c r="A18" t="s">
        <v>37</v>
      </c>
      <c r="B18" t="s">
        <v>34</v>
      </c>
      <c r="C18" s="31">
        <v>0</v>
      </c>
      <c r="D18" s="32">
        <v>13.4</v>
      </c>
      <c r="E18" s="33">
        <v>2.6294999999999999E-3</v>
      </c>
      <c r="F18" t="s">
        <v>34</v>
      </c>
      <c r="G18" s="31">
        <v>0</v>
      </c>
      <c r="H18" s="32">
        <v>14</v>
      </c>
      <c r="I18" s="33">
        <v>1.4262499999999999E-2</v>
      </c>
      <c r="J18" s="34">
        <f t="shared" si="0"/>
        <v>0</v>
      </c>
    </row>
    <row r="19" spans="1:10" ht="17.25" customHeight="1">
      <c r="A19" t="s">
        <v>38</v>
      </c>
      <c r="B19" t="s">
        <v>39</v>
      </c>
      <c r="C19" s="31">
        <v>5</v>
      </c>
      <c r="D19" s="32">
        <v>43.1</v>
      </c>
      <c r="E19" s="33">
        <v>4.8179525000000001E-2</v>
      </c>
      <c r="F19" t="s">
        <v>39</v>
      </c>
      <c r="G19" s="31">
        <v>5</v>
      </c>
      <c r="H19" s="32">
        <v>30.5</v>
      </c>
      <c r="I19" s="33">
        <v>0.21935902499999999</v>
      </c>
      <c r="J19" s="34" t="str">
        <f t="shared" si="0"/>
        <v>N/A</v>
      </c>
    </row>
    <row r="20" spans="1:10" ht="28.5" customHeight="1">
      <c r="A20" t="s">
        <v>19</v>
      </c>
      <c r="B20" t="s">
        <v>40</v>
      </c>
      <c r="C20" s="31">
        <f>SUM(C5:C19)</f>
        <v>6</v>
      </c>
      <c r="D20" s="32">
        <f>SUM(D5:D19)</f>
        <v>220.10000000000002</v>
      </c>
      <c r="E20" s="33">
        <f>SUM(E5:E19)</f>
        <v>8.3897650000000004E-2</v>
      </c>
      <c r="F20" s="35" t="s">
        <v>81</v>
      </c>
      <c r="G20" s="31">
        <f>SUM(G5:G19)</f>
        <v>12</v>
      </c>
      <c r="H20" s="32">
        <f>SUM(H5:H19)</f>
        <v>218.29999999999998</v>
      </c>
      <c r="I20" s="33">
        <f>SUM(I5:I19)</f>
        <v>0.47612814999999997</v>
      </c>
      <c r="J20" s="34">
        <f>SUM(J5:J19)</f>
        <v>10</v>
      </c>
    </row>
  </sheetData>
  <mergeCells count="2">
    <mergeCell ref="A1:J1"/>
    <mergeCell ref="A2:J2"/>
  </mergeCells>
  <conditionalFormatting sqref="J5:J19">
    <cfRule type="cellIs" dxfId="10" priority="1" operator="greaterThan">
      <formula>0</formula>
    </cfRule>
    <cfRule type="cellIs" dxfId="9" priority="2" operator="lessThan">
      <formula>0</formula>
    </cfRule>
    <cfRule type="cellIs" dxfId="8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0"/>
  <sheetViews>
    <sheetView showGridLines="0" workbookViewId="0">
      <selection activeCell="A2" sqref="A2:J2"/>
    </sheetView>
  </sheetViews>
  <sheetFormatPr defaultRowHeight="13.5"/>
  <cols>
    <col min="1" max="1" width="20" customWidth="1"/>
    <col min="2" max="2" width="22.5" customWidth="1"/>
    <col min="3" max="3" width="11.1875" customWidth="1"/>
    <col min="4" max="4" width="18.6875" customWidth="1"/>
    <col min="5" max="5" width="17.5" customWidth="1"/>
    <col min="6" max="6" width="33.6875" customWidth="1"/>
    <col min="7" max="7" width="11.1875" customWidth="1"/>
    <col min="8" max="8" width="18.6875" customWidth="1"/>
    <col min="9" max="9" width="17.5" customWidth="1"/>
    <col min="10" max="10" width="11.1875" customWidth="1"/>
  </cols>
  <sheetData>
    <row r="1" spans="1:10" ht="25.5" customHeight="1">
      <c r="A1" s="93" t="s">
        <v>80</v>
      </c>
      <c r="B1" s="93"/>
      <c r="C1" s="93"/>
      <c r="D1" s="93"/>
      <c r="E1" s="93"/>
      <c r="F1" s="93"/>
      <c r="G1" s="93"/>
      <c r="H1" s="93"/>
      <c r="I1" s="93"/>
      <c r="J1" s="93"/>
    </row>
    <row r="2" spans="1:10" ht="40.5" customHeight="1">
      <c r="A2" s="94"/>
      <c r="B2" s="94"/>
      <c r="C2" s="94"/>
      <c r="D2" s="94"/>
      <c r="E2" s="94"/>
      <c r="F2" s="94"/>
      <c r="G2" s="94"/>
      <c r="H2" s="94"/>
      <c r="I2" s="94"/>
      <c r="J2" s="94"/>
    </row>
    <row r="3" spans="1:10" ht="10.5" customHeight="1"/>
    <row r="4" spans="1:10" ht="31.5" customHeight="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 ht="17.25" customHeight="1">
      <c r="A5" t="s">
        <v>21</v>
      </c>
      <c r="B5" t="s">
        <v>22</v>
      </c>
      <c r="C5" s="31">
        <v>0</v>
      </c>
      <c r="D5" s="32">
        <v>11.4</v>
      </c>
      <c r="E5" s="33">
        <v>2.1294999999999999E-3</v>
      </c>
      <c r="F5" t="s">
        <v>22</v>
      </c>
      <c r="G5" s="31">
        <v>0</v>
      </c>
      <c r="H5" s="32">
        <v>13.5</v>
      </c>
      <c r="I5" s="33">
        <v>3.0170800000000001E-3</v>
      </c>
      <c r="J5" s="34">
        <f t="shared" ref="J5:J19" si="0">IFERROR(VALUE(LEFT(F5,FIND("/",F5)-1))-VALUE(LEFT(B5,FIND("/",B5)-1)),"N/A")</f>
        <v>0</v>
      </c>
    </row>
    <row r="6" spans="1:10" ht="17.25" customHeight="1">
      <c r="A6" t="s">
        <v>23</v>
      </c>
      <c r="B6" t="s">
        <v>24</v>
      </c>
      <c r="C6" s="31">
        <v>0</v>
      </c>
      <c r="D6" s="32">
        <v>9.6</v>
      </c>
      <c r="E6" s="33">
        <v>9.7674999999999997E-4</v>
      </c>
      <c r="F6" t="s">
        <v>24</v>
      </c>
      <c r="G6" s="31">
        <v>0</v>
      </c>
      <c r="H6" s="32">
        <v>48.3</v>
      </c>
      <c r="I6" s="33">
        <v>2.7184319999999998E-2</v>
      </c>
      <c r="J6" s="34">
        <f t="shared" si="0"/>
        <v>0</v>
      </c>
    </row>
    <row r="7" spans="1:10" ht="17.25" customHeight="1">
      <c r="A7" t="s">
        <v>25</v>
      </c>
      <c r="B7" t="s">
        <v>24</v>
      </c>
      <c r="C7" s="31">
        <v>0</v>
      </c>
      <c r="D7" s="32">
        <v>10.5</v>
      </c>
      <c r="E7" s="33">
        <v>6.1487499999999997E-4</v>
      </c>
      <c r="F7" t="s">
        <v>24</v>
      </c>
      <c r="G7" s="31">
        <v>0</v>
      </c>
      <c r="H7" s="32">
        <v>10.1</v>
      </c>
      <c r="I7" s="33">
        <v>8.57715E-4</v>
      </c>
      <c r="J7" s="34">
        <f t="shared" si="0"/>
        <v>0</v>
      </c>
    </row>
    <row r="8" spans="1:10" ht="17.25" customHeight="1">
      <c r="A8" t="s">
        <v>26</v>
      </c>
      <c r="B8" t="s">
        <v>27</v>
      </c>
      <c r="C8" s="31">
        <v>0</v>
      </c>
      <c r="D8" s="32">
        <v>10.8</v>
      </c>
      <c r="E8" s="33">
        <v>9.76125E-4</v>
      </c>
      <c r="F8" t="s">
        <v>24</v>
      </c>
      <c r="G8" s="31">
        <v>1</v>
      </c>
      <c r="H8" s="32">
        <v>12.3</v>
      </c>
      <c r="I8" s="33">
        <v>3.7903350000000001E-3</v>
      </c>
      <c r="J8" s="34">
        <f t="shared" si="0"/>
        <v>2</v>
      </c>
    </row>
    <row r="9" spans="1:10" ht="17.25" customHeight="1">
      <c r="A9" t="s">
        <v>28</v>
      </c>
      <c r="B9" t="s">
        <v>27</v>
      </c>
      <c r="C9" s="31">
        <v>0</v>
      </c>
      <c r="D9" s="32">
        <v>10.6</v>
      </c>
      <c r="E9" s="33">
        <v>2.2138750000000001E-3</v>
      </c>
      <c r="F9" t="s">
        <v>24</v>
      </c>
      <c r="G9" s="31">
        <v>1</v>
      </c>
      <c r="H9" s="32">
        <v>39.200000000000003</v>
      </c>
      <c r="I9" s="33">
        <v>1.7787404999999999E-2</v>
      </c>
      <c r="J9" s="34">
        <f t="shared" si="0"/>
        <v>2</v>
      </c>
    </row>
    <row r="10" spans="1:10" ht="17.25" customHeight="1">
      <c r="A10" t="s">
        <v>10</v>
      </c>
      <c r="B10" t="s">
        <v>11</v>
      </c>
      <c r="C10" s="31">
        <v>0</v>
      </c>
      <c r="D10" s="32">
        <v>14.7</v>
      </c>
      <c r="E10" s="33">
        <v>1.5922499999999999E-3</v>
      </c>
      <c r="F10" t="s">
        <v>13</v>
      </c>
      <c r="G10" s="31">
        <v>0</v>
      </c>
      <c r="H10" s="32">
        <v>62.8</v>
      </c>
      <c r="I10" s="33">
        <v>2.595509E-2</v>
      </c>
      <c r="J10" s="34">
        <f t="shared" si="0"/>
        <v>-1</v>
      </c>
    </row>
    <row r="11" spans="1:10" ht="17.25" customHeight="1">
      <c r="A11" t="s">
        <v>12</v>
      </c>
      <c r="B11" t="s">
        <v>13</v>
      </c>
      <c r="C11" s="31">
        <v>0</v>
      </c>
      <c r="D11" s="32">
        <v>10.199999999999999</v>
      </c>
      <c r="E11" s="33">
        <v>1.2542499999999999E-3</v>
      </c>
      <c r="F11" t="s">
        <v>11</v>
      </c>
      <c r="G11" s="31">
        <v>1</v>
      </c>
      <c r="H11" s="32">
        <v>53.3</v>
      </c>
      <c r="I11" s="33">
        <v>2.2002209999999998E-2</v>
      </c>
      <c r="J11" s="34">
        <f t="shared" si="0"/>
        <v>1</v>
      </c>
    </row>
    <row r="12" spans="1:10" ht="17.25" customHeight="1">
      <c r="A12" t="s">
        <v>14</v>
      </c>
      <c r="B12" t="s">
        <v>11</v>
      </c>
      <c r="C12" s="31">
        <v>0</v>
      </c>
      <c r="D12" s="32">
        <v>11.8</v>
      </c>
      <c r="E12" s="33">
        <v>1.6117499999999999E-3</v>
      </c>
      <c r="F12" t="s">
        <v>11</v>
      </c>
      <c r="G12" s="31">
        <v>0</v>
      </c>
      <c r="H12" s="32">
        <v>52.6</v>
      </c>
      <c r="I12" s="33">
        <v>2.6181259999999998E-2</v>
      </c>
      <c r="J12" s="34">
        <f t="shared" si="0"/>
        <v>0</v>
      </c>
    </row>
    <row r="13" spans="1:10" ht="17.25" customHeight="1">
      <c r="A13" t="s">
        <v>15</v>
      </c>
      <c r="B13" t="s">
        <v>16</v>
      </c>
      <c r="C13" s="31">
        <v>0</v>
      </c>
      <c r="D13" s="32">
        <v>11.4</v>
      </c>
      <c r="E13" s="33">
        <v>1.621E-3</v>
      </c>
      <c r="F13" t="s">
        <v>17</v>
      </c>
      <c r="G13" s="31">
        <v>1</v>
      </c>
      <c r="H13" s="32">
        <v>40.200000000000003</v>
      </c>
      <c r="I13" s="33">
        <v>3.4740439999999997E-2</v>
      </c>
      <c r="J13" s="34">
        <f t="shared" si="0"/>
        <v>2</v>
      </c>
    </row>
    <row r="14" spans="1:10" ht="17.25" customHeight="1">
      <c r="A14" t="s">
        <v>18</v>
      </c>
      <c r="B14" t="s">
        <v>13</v>
      </c>
      <c r="C14" s="31">
        <v>0</v>
      </c>
      <c r="D14" s="32">
        <v>11.9</v>
      </c>
      <c r="E14" s="33">
        <v>1.8866250000000001E-3</v>
      </c>
      <c r="F14" t="s">
        <v>11</v>
      </c>
      <c r="G14" s="31">
        <v>1</v>
      </c>
      <c r="H14" s="32">
        <v>45.4</v>
      </c>
      <c r="I14" s="33">
        <v>2.0369784999999998E-2</v>
      </c>
      <c r="J14" s="34">
        <f t="shared" si="0"/>
        <v>1</v>
      </c>
    </row>
    <row r="15" spans="1:10" ht="17.25" customHeight="1">
      <c r="A15" t="s">
        <v>30</v>
      </c>
      <c r="B15" t="s">
        <v>31</v>
      </c>
      <c r="C15" s="31">
        <v>0</v>
      </c>
      <c r="D15" s="32">
        <v>13.9</v>
      </c>
      <c r="E15" s="33">
        <v>2.2463750000000001E-3</v>
      </c>
      <c r="F15" t="s">
        <v>32</v>
      </c>
      <c r="G15" s="31">
        <v>1</v>
      </c>
      <c r="H15" s="32">
        <v>49.5</v>
      </c>
      <c r="I15" s="33">
        <v>2.0648184999999999E-2</v>
      </c>
      <c r="J15" s="34">
        <f t="shared" si="0"/>
        <v>3</v>
      </c>
    </row>
    <row r="16" spans="1:10" ht="17.25" customHeight="1">
      <c r="A16" t="s">
        <v>33</v>
      </c>
      <c r="B16" t="s">
        <v>34</v>
      </c>
      <c r="C16" s="31">
        <v>0</v>
      </c>
      <c r="D16" s="32">
        <v>13.4</v>
      </c>
      <c r="E16" s="33">
        <v>2.7671250000000001E-3</v>
      </c>
      <c r="F16" t="s">
        <v>34</v>
      </c>
      <c r="G16" s="31">
        <v>0</v>
      </c>
      <c r="H16" s="32">
        <v>36.299999999999997</v>
      </c>
      <c r="I16" s="33">
        <v>1.3974805E-2</v>
      </c>
      <c r="J16" s="34">
        <f t="shared" si="0"/>
        <v>0</v>
      </c>
    </row>
    <row r="17" spans="1:10" ht="17.25" customHeight="1">
      <c r="A17" t="s">
        <v>35</v>
      </c>
      <c r="B17" t="s">
        <v>36</v>
      </c>
      <c r="C17" s="31">
        <v>1</v>
      </c>
      <c r="D17" s="32">
        <v>23.4</v>
      </c>
      <c r="E17" s="33">
        <v>1.3198125E-2</v>
      </c>
      <c r="F17" t="s">
        <v>82</v>
      </c>
      <c r="G17" s="31">
        <v>0</v>
      </c>
      <c r="H17" s="32">
        <v>46.3</v>
      </c>
      <c r="I17" s="33">
        <v>3.2056965E-2</v>
      </c>
      <c r="J17" s="34" t="str">
        <f t="shared" si="0"/>
        <v>N/A</v>
      </c>
    </row>
    <row r="18" spans="1:10" ht="17.25" customHeight="1">
      <c r="A18" t="s">
        <v>37</v>
      </c>
      <c r="B18" t="s">
        <v>34</v>
      </c>
      <c r="C18" s="31">
        <v>0</v>
      </c>
      <c r="D18" s="32">
        <v>13.4</v>
      </c>
      <c r="E18" s="33">
        <v>2.6294999999999999E-3</v>
      </c>
      <c r="F18" t="s">
        <v>34</v>
      </c>
      <c r="G18" s="31">
        <v>0</v>
      </c>
      <c r="H18" s="32">
        <v>28.1</v>
      </c>
      <c r="I18" s="33">
        <v>1.261922E-2</v>
      </c>
      <c r="J18" s="34">
        <f t="shared" si="0"/>
        <v>0</v>
      </c>
    </row>
    <row r="19" spans="1:10" ht="17.25" customHeight="1">
      <c r="A19" t="s">
        <v>38</v>
      </c>
      <c r="B19" t="s">
        <v>39</v>
      </c>
      <c r="C19" s="31">
        <v>5</v>
      </c>
      <c r="D19" s="32">
        <v>43.1</v>
      </c>
      <c r="E19" s="33">
        <v>4.8179525000000001E-2</v>
      </c>
      <c r="F19" t="s">
        <v>82</v>
      </c>
      <c r="G19" s="31">
        <v>2</v>
      </c>
      <c r="H19" s="32">
        <v>72.099999999999994</v>
      </c>
      <c r="I19" s="33">
        <v>6.1791775E-2</v>
      </c>
      <c r="J19" s="34" t="str">
        <f t="shared" si="0"/>
        <v>N/A</v>
      </c>
    </row>
    <row r="20" spans="1:10" ht="28.5" customHeight="1">
      <c r="A20" t="s">
        <v>19</v>
      </c>
      <c r="B20" t="s">
        <v>40</v>
      </c>
      <c r="C20" s="31">
        <f>SUM(C5:C19)</f>
        <v>6</v>
      </c>
      <c r="D20" s="32">
        <f>SUM(D5:D19)</f>
        <v>220.10000000000002</v>
      </c>
      <c r="E20" s="33">
        <f>SUM(E5:E19)</f>
        <v>8.3897650000000004E-2</v>
      </c>
      <c r="F20" s="35" t="s">
        <v>88</v>
      </c>
      <c r="G20" s="31">
        <f>SUM(G5:G19)</f>
        <v>8</v>
      </c>
      <c r="H20" s="32">
        <f>SUM(H5:H19)</f>
        <v>610</v>
      </c>
      <c r="I20" s="33">
        <f>SUM(I5:I19)</f>
        <v>0.32297659000000001</v>
      </c>
      <c r="J20" s="34">
        <f>SUM(J5:J19)</f>
        <v>10</v>
      </c>
    </row>
  </sheetData>
  <mergeCells count="2">
    <mergeCell ref="A1:J1"/>
    <mergeCell ref="A2:J2"/>
  </mergeCells>
  <conditionalFormatting sqref="J5:J19">
    <cfRule type="cellIs" dxfId="7" priority="1" operator="greaterThan">
      <formula>0</formula>
    </cfRule>
    <cfRule type="cellIs" dxfId="6" priority="2" operator="lessThan">
      <formula>0</formula>
    </cfRule>
    <cfRule type="cellIs" dxfId="5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5"/>
  <sheetViews>
    <sheetView showGridLines="0" workbookViewId="0">
      <selection activeCell="A5" sqref="A5:XFD5"/>
    </sheetView>
  </sheetViews>
  <sheetFormatPr defaultRowHeight="13.5"/>
  <cols>
    <col min="1" max="1" width="66" customWidth="1"/>
    <col min="2" max="2" width="9" customWidth="1"/>
    <col min="3" max="4" width="25" customWidth="1"/>
    <col min="5" max="7" width="12" customWidth="1"/>
    <col min="8" max="9" width="16" customWidth="1"/>
    <col min="10" max="11" width="19" customWidth="1"/>
  </cols>
  <sheetData>
    <row r="1" spans="1:11" ht="30" customHeight="1">
      <c r="A1" s="95" t="s">
        <v>68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14.25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</row>
    <row r="3" spans="1:11" ht="14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2" customHeight="1">
      <c r="A4" s="28" t="s">
        <v>69</v>
      </c>
      <c r="B4" s="28" t="s">
        <v>70</v>
      </c>
      <c r="C4" s="28" t="s">
        <v>1</v>
      </c>
      <c r="D4" s="28" t="s">
        <v>5</v>
      </c>
      <c r="E4" s="28" t="s">
        <v>9</v>
      </c>
      <c r="F4" s="28" t="s">
        <v>2</v>
      </c>
      <c r="G4" s="28" t="s">
        <v>6</v>
      </c>
      <c r="H4" s="28" t="s">
        <v>3</v>
      </c>
      <c r="I4" s="28" t="s">
        <v>7</v>
      </c>
      <c r="J4" s="28" t="s">
        <v>4</v>
      </c>
      <c r="K4" s="28" t="s">
        <v>8</v>
      </c>
    </row>
    <row r="5" spans="1:11" ht="14.25">
      <c r="A5" s="29" t="s">
        <v>20</v>
      </c>
      <c r="B5" s="13">
        <v>15</v>
      </c>
      <c r="C5" s="12" t="s">
        <v>40</v>
      </c>
      <c r="D5" s="12" t="s">
        <v>41</v>
      </c>
      <c r="E5" s="16">
        <f>'5mini - 5.4mini'!J20</f>
        <v>11</v>
      </c>
      <c r="F5" s="16">
        <f>'5mini - 5.4mini'!C20</f>
        <v>6</v>
      </c>
      <c r="G5" s="16">
        <f>'5mini - 5.4mini'!G20</f>
        <v>15</v>
      </c>
      <c r="H5" s="14">
        <f>'5mini - 5.4mini'!D20</f>
        <v>220.10000000000002</v>
      </c>
      <c r="I5" s="14">
        <f>'5mini - 5.4mini'!H20</f>
        <v>229.2</v>
      </c>
      <c r="J5" s="15">
        <f>'5mini - 5.4mini'!E20</f>
        <v>8.3897650000000004E-2</v>
      </c>
      <c r="K5" s="15">
        <f>'5mini - 5.4mini'!I20</f>
        <v>0.29954375</v>
      </c>
    </row>
    <row r="6" spans="1:11" ht="14.25">
      <c r="A6" s="29" t="s">
        <v>42</v>
      </c>
      <c r="B6" s="13">
        <v>15</v>
      </c>
      <c r="C6" s="12" t="s">
        <v>41</v>
      </c>
      <c r="D6" s="12" t="s">
        <v>46</v>
      </c>
      <c r="E6" s="16">
        <f>'5.4mini - 5.4mini'!J20</f>
        <v>2</v>
      </c>
      <c r="F6" s="16">
        <f>'5.4mini - 5.4mini'!C20</f>
        <v>1</v>
      </c>
      <c r="G6" s="16">
        <f>'5.4mini - 5.4mini'!G20</f>
        <v>2</v>
      </c>
      <c r="H6" s="14">
        <f>'5.4mini - 5.4mini'!D20</f>
        <v>191.79999999999998</v>
      </c>
      <c r="I6" s="14">
        <f>'5.4mini - 5.4mini'!H20</f>
        <v>193.1</v>
      </c>
      <c r="J6" s="15">
        <f>'5.4mini - 5.4mini'!E20</f>
        <v>6.3906375000000001E-2</v>
      </c>
      <c r="K6" s="15">
        <f>'5.4mini - 5.4mini'!I20</f>
        <v>0.157653075</v>
      </c>
    </row>
    <row r="7" spans="1:11" ht="14.25">
      <c r="A7" s="29" t="s">
        <v>47</v>
      </c>
      <c r="B7" s="13">
        <v>15</v>
      </c>
      <c r="C7" s="12" t="str">
        <f>'5.4mini - 5.6sol'!B20</f>
        <v>130/149</v>
      </c>
      <c r="D7" s="12" t="str">
        <f>'5.4mini - 5.6sol'!F20</f>
        <v>143/149</v>
      </c>
      <c r="E7" s="16">
        <f>'5.4mini - 5.6sol'!J20</f>
        <v>13</v>
      </c>
      <c r="F7" s="16">
        <f>'5.4mini - 5.6sol'!C20</f>
        <v>1</v>
      </c>
      <c r="G7" s="16">
        <f>'5.4mini - 5.6sol'!G20</f>
        <v>6</v>
      </c>
      <c r="H7" s="14">
        <f>'5.4mini - 5.6sol'!D20</f>
        <v>191.79999999999998</v>
      </c>
      <c r="I7" s="14">
        <f>'5.4mini - 5.6sol'!H20</f>
        <v>196.7</v>
      </c>
      <c r="J7" s="15">
        <f>'5.4mini - 5.6sol'!E20</f>
        <v>6.3906375000000001E-2</v>
      </c>
      <c r="K7" s="15">
        <f>'5.4mini - 5.6sol'!I20</f>
        <v>0.35088662499999995</v>
      </c>
    </row>
    <row r="8" spans="1:11" ht="14.25">
      <c r="A8" s="29" t="s">
        <v>50</v>
      </c>
      <c r="B8" s="13">
        <v>15</v>
      </c>
      <c r="C8" s="12" t="s">
        <v>51</v>
      </c>
      <c r="D8" s="12" t="s">
        <v>52</v>
      </c>
      <c r="E8" s="16">
        <f>'Haiku4.5 - Sonnet5'!J20</f>
        <v>2</v>
      </c>
      <c r="F8" s="16">
        <f>'Haiku4.5 - Sonnet5'!C20</f>
        <v>6</v>
      </c>
      <c r="G8" s="16">
        <f>'Haiku4.5 - Sonnet5'!G20</f>
        <v>5</v>
      </c>
      <c r="H8" s="14">
        <f>'Haiku4.5 - Sonnet5'!D20</f>
        <v>251.60000000000002</v>
      </c>
      <c r="I8" s="14">
        <f>'Haiku4.5 - Sonnet5'!H20</f>
        <v>232.9</v>
      </c>
      <c r="J8" s="15">
        <f>'Haiku4.5 - Sonnet5'!E20</f>
        <v>0.80480199999999991</v>
      </c>
      <c r="K8" s="15">
        <f>'Haiku4.5 - Sonnet5'!I20</f>
        <v>1.3519650000000001</v>
      </c>
    </row>
    <row r="9" spans="1:11" ht="14.25">
      <c r="A9" s="29" t="s">
        <v>53</v>
      </c>
      <c r="B9" s="13">
        <v>15</v>
      </c>
      <c r="C9" s="12" t="s">
        <v>54</v>
      </c>
      <c r="D9" s="12" t="s">
        <v>55</v>
      </c>
      <c r="E9" s="16">
        <f>'GLM5.2 - 5.4mini'!J20</f>
        <v>1</v>
      </c>
      <c r="F9" s="16">
        <f>'GLM5.2 - 5.4mini'!C20</f>
        <v>1</v>
      </c>
      <c r="G9" s="16">
        <f>'GLM5.2 - 5.4mini'!G20</f>
        <v>1</v>
      </c>
      <c r="H9" s="14">
        <f>'GLM5.2 - 5.4mini'!D20</f>
        <v>252.90000000000003</v>
      </c>
      <c r="I9" s="14">
        <f>'GLM5.2 - 5.4mini'!H20</f>
        <v>255.60000000000002</v>
      </c>
      <c r="J9" s="15">
        <f>'GLM5.2 - 5.4mini'!E20</f>
        <v>0.64373115999999997</v>
      </c>
      <c r="K9" s="15">
        <f>'GLM5.2 - 5.4mini'!I20</f>
        <v>0.95337335999999984</v>
      </c>
    </row>
    <row r="10" spans="1:11" ht="14.25">
      <c r="A10" s="29" t="s">
        <v>56</v>
      </c>
      <c r="B10" s="13">
        <v>15</v>
      </c>
      <c r="C10" s="12" t="s">
        <v>58</v>
      </c>
      <c r="D10" s="12" t="s">
        <v>59</v>
      </c>
      <c r="E10" s="16">
        <f>'Gemma4 - 5.6luna'!J20</f>
        <v>5</v>
      </c>
      <c r="F10" s="16">
        <f>'Gemma4 - 5.6luna'!C20</f>
        <v>1</v>
      </c>
      <c r="G10" s="16">
        <f>'Gemma4 - 5.6luna'!G20</f>
        <v>7</v>
      </c>
      <c r="H10" s="14">
        <f>'Gemma4 - 5.6luna'!D20</f>
        <v>233.2</v>
      </c>
      <c r="I10" s="14">
        <f>'Gemma4 - 5.6luna'!H20</f>
        <v>246.79999999999998</v>
      </c>
      <c r="J10" s="15">
        <f>'Gemma4 - 5.6luna'!E20</f>
        <v>2.003568E-2</v>
      </c>
      <c r="K10" s="15">
        <f>'Gemma4 - 5.6luna'!I20</f>
        <v>7.6534340000000006E-2</v>
      </c>
    </row>
    <row r="11" spans="1:11" ht="14.25">
      <c r="A11" s="29" t="s">
        <v>60</v>
      </c>
      <c r="B11" s="13">
        <v>15</v>
      </c>
      <c r="C11" s="12" t="s">
        <v>64</v>
      </c>
      <c r="D11" s="12" t="s">
        <v>65</v>
      </c>
      <c r="E11" s="16">
        <f>'Qwen3.5 9B - 5.6luna'!J20</f>
        <v>11</v>
      </c>
      <c r="F11" s="16">
        <f>'Qwen3.5 9B - 5.6luna'!C20</f>
        <v>40</v>
      </c>
      <c r="G11" s="16">
        <f>'Qwen3.5 9B - 5.6luna'!G20</f>
        <v>41</v>
      </c>
      <c r="H11" s="14">
        <f>'Qwen3.5 9B - 5.6luna'!D20</f>
        <v>425</v>
      </c>
      <c r="I11" s="14">
        <f>'Qwen3.5 9B - 5.6luna'!H20</f>
        <v>163.19999999999999</v>
      </c>
      <c r="J11" s="15">
        <f>'Qwen3.5 9B - 5.6luna'!E20</f>
        <v>4.6156075000000005E-2</v>
      </c>
      <c r="K11" s="15">
        <f>'Qwen3.5 9B - 5.6luna'!I20</f>
        <v>0.14689922500000002</v>
      </c>
    </row>
    <row r="12" spans="1:11" ht="14.25">
      <c r="A12" s="30" t="s">
        <v>66</v>
      </c>
      <c r="B12" s="19">
        <v>15</v>
      </c>
      <c r="C12" s="18" t="s">
        <v>67</v>
      </c>
      <c r="D12" s="18" t="s">
        <v>67</v>
      </c>
      <c r="E12" s="22">
        <f>'DeepSeek V4 - 5.6luna'!J20</f>
        <v>0</v>
      </c>
      <c r="F12" s="22">
        <f>'DeepSeek V4 - 5.6luna'!C20</f>
        <v>1</v>
      </c>
      <c r="G12" s="22">
        <f>'DeepSeek V4 - 5.6luna'!G20</f>
        <v>2</v>
      </c>
      <c r="H12" s="20">
        <f>'DeepSeek V4 - 5.6luna'!D20</f>
        <v>289.80000000000007</v>
      </c>
      <c r="I12" s="20">
        <f>'DeepSeek V4 - 5.6luna'!H20</f>
        <v>297.09999999999997</v>
      </c>
      <c r="J12" s="21">
        <f>'DeepSeek V4 - 5.6luna'!E20</f>
        <v>2.4598118000000002E-2</v>
      </c>
      <c r="K12" s="21">
        <f>'DeepSeek V4 - 5.6luna'!I20</f>
        <v>5.6284458000000002E-2</v>
      </c>
    </row>
    <row r="13" spans="1:11" ht="18" customHeight="1">
      <c r="A13" s="36" t="s">
        <v>71</v>
      </c>
      <c r="B13" s="38">
        <v>15</v>
      </c>
      <c r="C13" s="39" t="str">
        <f>'Gemma4 - 5.4mini'!B20</f>
        <v>128/149</v>
      </c>
      <c r="D13" s="39" t="str">
        <f>'Gemma4 - 5.4mini'!F20</f>
        <v>119/135 (1 not reached)</v>
      </c>
      <c r="E13" s="40">
        <f>'Gemma4 - 5.4mini'!J20</f>
        <v>0</v>
      </c>
      <c r="F13" s="40">
        <f>'Gemma4 - 5.4mini'!C20</f>
        <v>1</v>
      </c>
      <c r="G13" s="40">
        <f>'Gemma4 - 5.4mini'!G20</f>
        <v>13</v>
      </c>
      <c r="H13" s="41">
        <f>'Gemma4 - 5.4mini'!D20</f>
        <v>233.2</v>
      </c>
      <c r="I13" s="41">
        <f>'Gemma4 - 5.4mini'!H20</f>
        <v>274.89999999999998</v>
      </c>
      <c r="J13" s="42">
        <f>'Gemma4 - 5.4mini'!E20</f>
        <v>2.003568E-2</v>
      </c>
      <c r="K13" s="42">
        <f>'Gemma4 - 5.4mini'!I20</f>
        <v>0.19554273999999996</v>
      </c>
    </row>
    <row r="14" spans="1:11" ht="28.5" customHeight="1">
      <c r="A14" s="37" t="s">
        <v>72</v>
      </c>
      <c r="B14" s="43">
        <v>15</v>
      </c>
      <c r="C14" s="44" t="str">
        <f>'Qwen3.5 9B - 5.4mini'!B20</f>
        <v>65/87 (5 not reached)</v>
      </c>
      <c r="D14" s="44" t="str">
        <f>'Qwen3.5 9B - 5.4mini'!F20</f>
        <v>45/49 (5 not reached; 3 technical errors)</v>
      </c>
      <c r="E14" s="45">
        <f>'Qwen3.5 9B - 5.4mini'!J20</f>
        <v>6</v>
      </c>
      <c r="F14" s="45">
        <f>'Qwen3.5 9B - 5.4mini'!C20</f>
        <v>40</v>
      </c>
      <c r="G14" s="45">
        <f>'Qwen3.5 9B - 5.4mini'!G20</f>
        <v>38</v>
      </c>
      <c r="H14" s="46">
        <f>'Qwen3.5 9B - 5.4mini'!D20</f>
        <v>425</v>
      </c>
      <c r="I14" s="46">
        <f>'Qwen3.5 9B - 5.4mini'!H20</f>
        <v>146.10000000000002</v>
      </c>
      <c r="J14" s="47">
        <f>'Qwen3.5 9B - 5.4mini'!E20</f>
        <v>4.6156075000000005E-2</v>
      </c>
      <c r="K14" s="47">
        <f>'Qwen3.5 9B - 5.4mini'!I20</f>
        <v>0.25700632499999998</v>
      </c>
    </row>
    <row r="15" spans="1:11" ht="22.5" customHeight="1">
      <c r="A15" s="48" t="s">
        <v>73</v>
      </c>
      <c r="B15" s="52">
        <v>15</v>
      </c>
      <c r="C15" s="50" t="str">
        <f>'5mini - 5.6luna'!B20</f>
        <v>109/135 (1 not reached)</v>
      </c>
      <c r="D15" s="50" t="str">
        <f>'5mini - 5.6luna'!F20</f>
        <v>128/149</v>
      </c>
      <c r="E15" s="54">
        <f>'5mini - 5.6luna'!J20</f>
        <v>8</v>
      </c>
      <c r="F15" s="54">
        <f>'5mini - 5.6luna'!C20</f>
        <v>6</v>
      </c>
      <c r="G15" s="54">
        <f>'5mini - 5.6luna'!G20</f>
        <v>13</v>
      </c>
      <c r="H15" s="58">
        <f>'5mini - 5.6luna'!D20</f>
        <v>220.10000000000002</v>
      </c>
      <c r="I15" s="58">
        <f>'5mini - 5.6luna'!H20</f>
        <v>230.3</v>
      </c>
      <c r="J15" s="62">
        <f>'5mini - 5.6luna'!E20</f>
        <v>8.3897650000000004E-2</v>
      </c>
      <c r="K15" s="62">
        <f>'5mini - 5.6luna'!I20</f>
        <v>0.17356579999999999</v>
      </c>
    </row>
    <row r="16" spans="1:11" ht="22.5" customHeight="1">
      <c r="A16" s="49" t="s">
        <v>74</v>
      </c>
      <c r="B16" s="53">
        <v>15</v>
      </c>
      <c r="C16" s="51" t="str">
        <f>'5.4mini - 5.6luna'!B20</f>
        <v>130/149</v>
      </c>
      <c r="D16" s="51" t="str">
        <f>'5.4mini - 5.6luna'!F20</f>
        <v>143/149</v>
      </c>
      <c r="E16" s="55">
        <f>'5.4mini - 5.6luna'!J20</f>
        <v>13</v>
      </c>
      <c r="F16" s="55">
        <f>'5.4mini - 5.6luna'!C20</f>
        <v>1</v>
      </c>
      <c r="G16" s="55">
        <f>'5.4mini - 5.6luna'!G20</f>
        <v>6</v>
      </c>
      <c r="H16" s="59">
        <f>'5.4mini - 5.6luna'!D20</f>
        <v>191.79999999999998</v>
      </c>
      <c r="I16" s="59">
        <f>'5.4mini - 5.6luna'!H20</f>
        <v>201.8</v>
      </c>
      <c r="J16" s="63">
        <f>'5.4mini - 5.6luna'!E20</f>
        <v>6.3906375000000001E-2</v>
      </c>
      <c r="K16" s="63">
        <f>'5.4mini - 5.6luna'!I20</f>
        <v>0.149026675</v>
      </c>
    </row>
    <row r="17" spans="1:11" ht="22.5" customHeight="1">
      <c r="A17" s="49" t="s">
        <v>75</v>
      </c>
      <c r="B17" s="53">
        <v>15</v>
      </c>
      <c r="C17" s="51" t="str">
        <f>'Gemma4 - 5.4mini med'!B20</f>
        <v>128/149</v>
      </c>
      <c r="D17" s="51" t="str">
        <f>'Gemma4 - 5.4mini med'!F20</f>
        <v>133/149</v>
      </c>
      <c r="E17" s="56">
        <f>'Gemma4 - 5.4mini med'!J20</f>
        <v>5</v>
      </c>
      <c r="F17" s="56">
        <f>'Gemma4 - 5.4mini med'!C20</f>
        <v>1</v>
      </c>
      <c r="G17" s="56">
        <f>'Gemma4 - 5.4mini med'!G20</f>
        <v>6</v>
      </c>
      <c r="H17" s="60">
        <f>'Gemma4 - 5.4mini med'!D20</f>
        <v>233.2</v>
      </c>
      <c r="I17" s="60">
        <f>'Gemma4 - 5.4mini med'!H20</f>
        <v>255.70000000000005</v>
      </c>
      <c r="J17" s="64">
        <f>'Gemma4 - 5.4mini med'!E20</f>
        <v>2.003568E-2</v>
      </c>
      <c r="K17" s="64">
        <f>'Gemma4 - 5.4mini med'!I20</f>
        <v>0.38753151000000002</v>
      </c>
    </row>
    <row r="18" spans="1:11" ht="22.5" customHeight="1">
      <c r="A18" s="66" t="s">
        <v>76</v>
      </c>
      <c r="B18" s="67">
        <v>15</v>
      </c>
      <c r="C18" s="68" t="str">
        <f>'Qwen3.5 9B - 5.4mini med'!B20</f>
        <v>65/87 (5 not reached)</v>
      </c>
      <c r="D18" s="68" t="str">
        <f>'Qwen3.5 9B - 5.4mini med'!F20</f>
        <v>52/59 (6 not reached; 1 technical errors)</v>
      </c>
      <c r="E18" s="57">
        <f>'Qwen3.5 9B - 5.4mini med'!J20</f>
        <v>8</v>
      </c>
      <c r="F18" s="57">
        <f>'Qwen3.5 9B - 5.4mini med'!C20</f>
        <v>40</v>
      </c>
      <c r="G18" s="57">
        <f>'Qwen3.5 9B - 5.4mini med'!G20</f>
        <v>46</v>
      </c>
      <c r="H18" s="61">
        <f>'Qwen3.5 9B - 5.4mini med'!D20</f>
        <v>425</v>
      </c>
      <c r="I18" s="61">
        <f>'Qwen3.5 9B - 5.4mini med'!H20</f>
        <v>166.2</v>
      </c>
      <c r="J18" s="65">
        <f>'Qwen3.5 9B - 5.4mini med'!E20</f>
        <v>4.6156075000000005E-2</v>
      </c>
      <c r="K18" s="65">
        <f>'Qwen3.5 9B - 5.4mini med'!I20</f>
        <v>0.92720927500000005</v>
      </c>
    </row>
    <row r="19" spans="1:11" ht="22.5" customHeight="1">
      <c r="A19" s="81" t="s">
        <v>77</v>
      </c>
      <c r="B19" s="82">
        <v>15</v>
      </c>
      <c r="C19" s="83" t="str">
        <f>'DeepSeek V4 - DeepSeek'!B20</f>
        <v>134/149</v>
      </c>
      <c r="D19" s="83" t="str">
        <f>'DeepSeek V4 - DeepSeek'!F20</f>
        <v>116/121 (2 technical errors)</v>
      </c>
      <c r="E19" s="72">
        <f>'DeepSeek V4 - DeepSeek'!J20</f>
        <v>2</v>
      </c>
      <c r="F19" s="72">
        <f>'DeepSeek V4 - DeepSeek'!C20</f>
        <v>1</v>
      </c>
      <c r="G19" s="72">
        <f>'DeepSeek V4 - DeepSeek'!G20</f>
        <v>3</v>
      </c>
      <c r="H19" s="75">
        <f>'DeepSeek V4 - DeepSeek'!D20</f>
        <v>289.80000000000007</v>
      </c>
      <c r="I19" s="75">
        <f>'DeepSeek V4 - DeepSeek'!H20</f>
        <v>579.19999999999993</v>
      </c>
      <c r="J19" s="78">
        <f>'DeepSeek V4 - DeepSeek'!E20</f>
        <v>2.4598118000000002E-2</v>
      </c>
      <c r="K19" s="78">
        <f>'DeepSeek V4 - DeepSeek'!I20</f>
        <v>0.17393045800000001</v>
      </c>
    </row>
    <row r="20" spans="1:11" ht="22.5" customHeight="1">
      <c r="A20" s="81" t="s">
        <v>78</v>
      </c>
      <c r="B20" s="82">
        <v>15</v>
      </c>
      <c r="C20" s="83" t="str">
        <f>'5mini - 5.4mini med'!B20</f>
        <v>109/135 (1 not reached)</v>
      </c>
      <c r="D20" s="83" t="str">
        <f>'5mini - 5.4mini med'!F20</f>
        <v>111/121 (2 not reached)</v>
      </c>
      <c r="E20" s="72">
        <f>'5mini - 5.4mini med'!J20</f>
        <v>10</v>
      </c>
      <c r="F20" s="72">
        <f>'5mini - 5.4mini med'!C20</f>
        <v>6</v>
      </c>
      <c r="G20" s="72">
        <f>'5mini - 5.4mini med'!G20</f>
        <v>16</v>
      </c>
      <c r="H20" s="75">
        <f>'5mini - 5.4mini med'!D20</f>
        <v>220.10000000000002</v>
      </c>
      <c r="I20" s="75">
        <f>'5mini - 5.4mini med'!H20</f>
        <v>220.20000000000002</v>
      </c>
      <c r="J20" s="78">
        <f>'5mini - 5.4mini med'!E20</f>
        <v>8.3897650000000004E-2</v>
      </c>
      <c r="K20" s="78">
        <f>'5mini - 5.4mini med'!I20</f>
        <v>0.83773265000000008</v>
      </c>
    </row>
    <row r="21" spans="1:11" ht="22.5" customHeight="1">
      <c r="A21" s="69" t="s">
        <v>79</v>
      </c>
      <c r="B21" s="71">
        <v>15</v>
      </c>
      <c r="C21" s="70" t="str">
        <f>'5mini - 5.6sol'!B20</f>
        <v>109/135 (1 not reached)</v>
      </c>
      <c r="D21" s="70" t="str">
        <f>'5mini - 5.6sol'!F20</f>
        <v>119/135 (1 not reached)</v>
      </c>
      <c r="E21" s="73">
        <f>'5mini - 5.6sol'!J20</f>
        <v>10</v>
      </c>
      <c r="F21" s="73">
        <f>'5mini - 5.6sol'!C20</f>
        <v>6</v>
      </c>
      <c r="G21" s="73">
        <f>'5mini - 5.6sol'!G20</f>
        <v>12</v>
      </c>
      <c r="H21" s="76">
        <f>'5mini - 5.6sol'!D20</f>
        <v>220.10000000000002</v>
      </c>
      <c r="I21" s="76">
        <f>'5mini - 5.6sol'!H20</f>
        <v>218.29999999999998</v>
      </c>
      <c r="J21" s="79">
        <f>'5mini - 5.6sol'!E20</f>
        <v>8.3897650000000004E-2</v>
      </c>
      <c r="K21" s="79">
        <f>'5mini - 5.6sol'!I20</f>
        <v>0.47612814999999997</v>
      </c>
    </row>
    <row r="22" spans="1:11" ht="22.5" customHeight="1">
      <c r="A22" s="84" t="s">
        <v>80</v>
      </c>
      <c r="B22" s="85">
        <v>15</v>
      </c>
      <c r="C22" s="86" t="str">
        <f>'5mini - DeepSeek V4'!B20</f>
        <v>109/135 (1 not reached)</v>
      </c>
      <c r="D22" s="86" t="str">
        <f>'5mini - DeepSeek V4'!F20</f>
        <v>111/121 (2 technical errors)</v>
      </c>
      <c r="E22" s="74">
        <f>'5mini - DeepSeek V4'!J20</f>
        <v>10</v>
      </c>
      <c r="F22" s="74">
        <f>'5mini - DeepSeek V4'!C20</f>
        <v>6</v>
      </c>
      <c r="G22" s="74">
        <f>'5mini - DeepSeek V4'!G20</f>
        <v>8</v>
      </c>
      <c r="H22" s="77">
        <f>'5mini - DeepSeek V4'!D20</f>
        <v>220.10000000000002</v>
      </c>
      <c r="I22" s="77">
        <f>'5mini - DeepSeek V4'!H20</f>
        <v>610</v>
      </c>
      <c r="J22" s="80">
        <f>'5mini - DeepSeek V4'!E20</f>
        <v>8.3897650000000004E-2</v>
      </c>
      <c r="K22" s="80">
        <f>'5mini - DeepSeek V4'!I20</f>
        <v>0.32297659000000001</v>
      </c>
    </row>
    <row r="23" spans="1:11" ht="9" customHeight="1"/>
    <row r="24" spans="1:11" ht="9" customHeight="1"/>
    <row r="25" spans="1:11" ht="78" customHeight="1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</row>
  </sheetData>
  <mergeCells count="3">
    <mergeCell ref="A1:K1"/>
    <mergeCell ref="A2:K2"/>
    <mergeCell ref="A25:K25"/>
  </mergeCells>
  <conditionalFormatting sqref="E5:E12">
    <cfRule type="cellIs" dxfId="4" priority="1" operator="greaterThan">
      <formula>0</formula>
    </cfRule>
    <cfRule type="cellIs" dxfId="3" priority="2" operator="lessThan">
      <formula>0</formula>
    </cfRule>
  </conditionalFormatting>
  <conditionalFormatting sqref="E13:E22">
    <cfRule type="cellIs" dxfId="2" priority="3" operator="greaterThan">
      <formula>0</formula>
    </cfRule>
    <cfRule type="cellIs" dxfId="1" priority="4" operator="lessThan">
      <formula>0</formula>
    </cfRule>
    <cfRule type="cellIs" dxfId="0" priority="5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5mini - 5.4mini</vt:lpstr>
      <vt:lpstr>5.4mini - 5.4mini</vt:lpstr>
      <vt:lpstr>5.4mini - 5.6sol</vt:lpstr>
      <vt:lpstr>Haiku4.5 - Sonnet5</vt:lpstr>
      <vt:lpstr>GLM5.2 - 5.4mini</vt:lpstr>
      <vt:lpstr>Gemma4 - 5.6luna</vt:lpstr>
      <vt:lpstr>Qwen3.5 9B - 5.6luna</vt:lpstr>
      <vt:lpstr>DeepSeek V4 - 5.6luna</vt:lpstr>
      <vt:lpstr>Gemma4 - 5.4mini</vt:lpstr>
      <vt:lpstr>Qwen3.5 9B - 5.4mini</vt:lpstr>
      <vt:lpstr>5mini - 5.6luna</vt:lpstr>
      <vt:lpstr>5.4mini - 5.6luna</vt:lpstr>
      <vt:lpstr>Gemma4 - 5.4mini med</vt:lpstr>
      <vt:lpstr>Qwen3.5 9B - 5.4mini med</vt:lpstr>
      <vt:lpstr>DeepSeek V4 - DeepSeek</vt:lpstr>
      <vt:lpstr>5mini - 5.4mini med</vt:lpstr>
      <vt:lpstr>5mini - 5.6sol</vt:lpstr>
      <vt:lpstr>5mini - DeepSeek V4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Abeer Aamir</dc:creator>
  <cp:lastModifiedBy>Abeer Aamir [xbmw0684]</cp:lastModifiedBy>
  <dcterms:modified xsi:type="dcterms:W3CDTF">2026-09-14T19:41:26Z</dcterms:modified>
</cp:coreProperties>
</file>